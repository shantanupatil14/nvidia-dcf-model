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ml.chartshapes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ml.chartshapes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p51\Downloads\IB Projects\"/>
    </mc:Choice>
  </mc:AlternateContent>
  <xr:revisionPtr revIDLastSave="0" documentId="8_{449382D0-D927-4324-8F0C-5BBCC553F20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2" sheetId="21" r:id="rId1"/>
    <sheet name="Index" sheetId="4" r:id="rId2"/>
    <sheet name="1.Input --&gt;" sheetId="17" r:id="rId3"/>
    <sheet name="P&amp;L assumptions" sheetId="8" r:id="rId4"/>
    <sheet name="BS assumptions" sheetId="9" r:id="rId5"/>
    <sheet name="2.Output--&gt;" sheetId="18" r:id="rId6"/>
    <sheet name="P&amp;L" sheetId="5" r:id="rId7"/>
    <sheet name="BS" sheetId="7" r:id="rId8"/>
    <sheet name="Cash Flow" sheetId="6" r:id="rId9"/>
    <sheet name="WACC" sheetId="20" r:id="rId10"/>
    <sheet name="DCF valuation" sheetId="11" r:id="rId11"/>
    <sheet name="3.Charts  --&gt;" sheetId="12" r:id="rId12"/>
    <sheet name="Revenues&amp;Ebitda" sheetId="13" r:id="rId13"/>
    <sheet name="Cash flows" sheetId="14" r:id="rId14"/>
    <sheet name="Working capital" sheetId="19" r:id="rId15"/>
    <sheet name="DCF results" sheetId="15" r:id="rId16"/>
    <sheet name="4.Sources --&gt;" sheetId="1" r:id="rId17"/>
    <sheet name="P&amp;L source" sheetId="2" r:id="rId18"/>
    <sheet name="BS source" sheetId="3" r:id="rId19"/>
  </sheets>
  <externalReferences>
    <externalReference r:id="rId2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1" l="1"/>
  <c r="F13" i="20" l="1"/>
  <c r="F12" i="20"/>
  <c r="F11" i="20"/>
  <c r="F10" i="20"/>
  <c r="E24" i="20"/>
  <c r="N33" i="20"/>
  <c r="F15" i="20" s="1"/>
  <c r="F9" i="20" s="1"/>
  <c r="O33" i="20"/>
  <c r="D15" i="3"/>
  <c r="E15" i="3"/>
  <c r="F15" i="3"/>
  <c r="D9" i="2"/>
  <c r="E9" i="2"/>
  <c r="F9" i="2"/>
  <c r="D8" i="2"/>
  <c r="E8" i="2"/>
  <c r="F8" i="2"/>
  <c r="P33" i="20" l="1"/>
  <c r="F16" i="20"/>
  <c r="F20" i="20" s="1"/>
  <c r="I24" i="20" l="1"/>
  <c r="C21" i="8" l="1"/>
  <c r="B6" i="19" l="1"/>
  <c r="B5" i="19"/>
  <c r="B4" i="19"/>
  <c r="B3" i="19"/>
  <c r="B4" i="13"/>
  <c r="K3" i="13"/>
  <c r="J3" i="13"/>
  <c r="I3" i="13"/>
  <c r="H3" i="13"/>
  <c r="G3" i="13"/>
  <c r="E3" i="13"/>
  <c r="D3" i="13"/>
  <c r="C3" i="13"/>
  <c r="B3" i="13"/>
  <c r="K10" i="11" l="1"/>
  <c r="J10" i="11"/>
  <c r="I10" i="11"/>
  <c r="H10" i="11"/>
  <c r="G10" i="11"/>
  <c r="E19" i="7" l="1"/>
  <c r="D19" i="7"/>
  <c r="E12" i="7"/>
  <c r="D12" i="7"/>
  <c r="E6" i="7"/>
  <c r="K6" i="7" s="1"/>
  <c r="D6" i="7"/>
  <c r="E4" i="7"/>
  <c r="J4" i="7" s="1"/>
  <c r="D4" i="7"/>
  <c r="C19" i="7"/>
  <c r="C12" i="7"/>
  <c r="D32" i="6" s="1"/>
  <c r="C6" i="7"/>
  <c r="C4" i="7"/>
  <c r="I4" i="7" l="1"/>
  <c r="C19" i="11"/>
  <c r="E27" i="6"/>
  <c r="H6" i="7"/>
  <c r="G19" i="7"/>
  <c r="G27" i="6" s="1"/>
  <c r="K19" i="7"/>
  <c r="D19" i="6"/>
  <c r="E32" i="6"/>
  <c r="D35" i="6"/>
  <c r="I6" i="7"/>
  <c r="H19" i="7"/>
  <c r="H27" i="6" s="1"/>
  <c r="E19" i="6"/>
  <c r="C20" i="11"/>
  <c r="G32" i="6"/>
  <c r="E35" i="6"/>
  <c r="G4" i="7"/>
  <c r="K4" i="7"/>
  <c r="J6" i="7"/>
  <c r="I19" i="7"/>
  <c r="D27" i="6"/>
  <c r="H4" i="7"/>
  <c r="G6" i="7"/>
  <c r="J19" i="7"/>
  <c r="J27" i="6" s="1"/>
  <c r="I19" i="6" l="1"/>
  <c r="H19" i="6"/>
  <c r="I27" i="6"/>
  <c r="J19" i="6"/>
  <c r="K19" i="6"/>
  <c r="K27" i="6"/>
  <c r="G19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6" i="6"/>
  <c r="E11" i="9"/>
  <c r="E16" i="7" s="1"/>
  <c r="D11" i="9"/>
  <c r="D16" i="7" s="1"/>
  <c r="C11" i="9"/>
  <c r="C16" i="7" s="1"/>
  <c r="E8" i="9"/>
  <c r="E8" i="7" s="1"/>
  <c r="D8" i="9"/>
  <c r="D8" i="7" s="1"/>
  <c r="C8" i="9"/>
  <c r="C8" i="7" s="1"/>
  <c r="C4" i="19" s="1"/>
  <c r="E5" i="9"/>
  <c r="E9" i="7" s="1"/>
  <c r="D5" i="9"/>
  <c r="D9" i="7" s="1"/>
  <c r="C5" i="9"/>
  <c r="C9" i="7" s="1"/>
  <c r="C5" i="19" s="1"/>
  <c r="E14" i="7" l="1"/>
  <c r="E5" i="19"/>
  <c r="E13" i="6"/>
  <c r="C6" i="19"/>
  <c r="D6" i="19"/>
  <c r="D14" i="6"/>
  <c r="C7" i="19"/>
  <c r="D4" i="19"/>
  <c r="D12" i="6"/>
  <c r="E6" i="19"/>
  <c r="E14" i="6"/>
  <c r="C14" i="7"/>
  <c r="D14" i="7"/>
  <c r="D5" i="19"/>
  <c r="D13" i="6"/>
  <c r="E4" i="19"/>
  <c r="E7" i="19" s="1"/>
  <c r="E12" i="6"/>
  <c r="E15" i="6" l="1"/>
  <c r="D15" i="6"/>
  <c r="D7" i="19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6" i="6" l="1"/>
  <c r="K6" i="6"/>
  <c r="I6" i="6"/>
  <c r="J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E8" i="5" l="1"/>
  <c r="E12" i="9"/>
  <c r="E9" i="9"/>
  <c r="C14" i="5"/>
  <c r="D17" i="5"/>
  <c r="D25" i="6" s="1"/>
  <c r="D40" i="8"/>
  <c r="E18" i="5"/>
  <c r="E21" i="6" s="1"/>
  <c r="D8" i="5"/>
  <c r="D9" i="9"/>
  <c r="D10" i="19" s="1"/>
  <c r="D12" i="9"/>
  <c r="D11" i="19" s="1"/>
  <c r="E11" i="5"/>
  <c r="C11" i="5"/>
  <c r="D14" i="5"/>
  <c r="E17" i="5"/>
  <c r="E25" i="6" s="1"/>
  <c r="E40" i="8"/>
  <c r="G39" i="8"/>
  <c r="D18" i="5"/>
  <c r="D21" i="6" s="1"/>
  <c r="C8" i="5"/>
  <c r="C12" i="9"/>
  <c r="C11" i="19" s="1"/>
  <c r="C9" i="9"/>
  <c r="C10" i="19" s="1"/>
  <c r="D11" i="5"/>
  <c r="E14" i="5"/>
  <c r="C18" i="5"/>
  <c r="E15" i="8"/>
  <c r="D15" i="8"/>
  <c r="D5" i="5" s="1"/>
  <c r="C15" i="8"/>
  <c r="C5" i="5" s="1"/>
  <c r="E16" i="8" l="1"/>
  <c r="E9" i="6"/>
  <c r="E18" i="6"/>
  <c r="E10" i="19"/>
  <c r="I9" i="9"/>
  <c r="I10" i="19" s="1"/>
  <c r="H9" i="9"/>
  <c r="H10" i="19" s="1"/>
  <c r="K9" i="9"/>
  <c r="K10" i="19" s="1"/>
  <c r="G9" i="9"/>
  <c r="G10" i="19" s="1"/>
  <c r="J9" i="9"/>
  <c r="J10" i="19" s="1"/>
  <c r="D16" i="8"/>
  <c r="E5" i="5"/>
  <c r="G15" i="8"/>
  <c r="H39" i="8"/>
  <c r="G17" i="5"/>
  <c r="G25" i="6" s="1"/>
  <c r="E11" i="19"/>
  <c r="H12" i="9"/>
  <c r="H11" i="19" s="1"/>
  <c r="K12" i="9"/>
  <c r="K11" i="19" s="1"/>
  <c r="G12" i="9"/>
  <c r="G11" i="19" s="1"/>
  <c r="J12" i="9"/>
  <c r="J11" i="19" s="1"/>
  <c r="I12" i="9"/>
  <c r="I11" i="19" s="1"/>
  <c r="D9" i="6"/>
  <c r="D18" i="6"/>
  <c r="K10" i="8"/>
  <c r="J10" i="8"/>
  <c r="I10" i="8"/>
  <c r="H10" i="8"/>
  <c r="G10" i="8"/>
  <c r="H17" i="5" l="1"/>
  <c r="H25" i="6" s="1"/>
  <c r="I39" i="8"/>
  <c r="H15" i="8"/>
  <c r="G5" i="5"/>
  <c r="E9" i="8"/>
  <c r="D9" i="8"/>
  <c r="C9" i="8"/>
  <c r="E10" i="8" l="1"/>
  <c r="I15" i="8"/>
  <c r="H5" i="5"/>
  <c r="C4" i="5"/>
  <c r="C21" i="9"/>
  <c r="C18" i="9"/>
  <c r="C15" i="9"/>
  <c r="C6" i="9"/>
  <c r="C9" i="19" s="1"/>
  <c r="C34" i="8"/>
  <c r="C46" i="8"/>
  <c r="C28" i="8"/>
  <c r="C22" i="8"/>
  <c r="E4" i="5"/>
  <c r="E18" i="9"/>
  <c r="E15" i="9"/>
  <c r="E21" i="9"/>
  <c r="E6" i="9"/>
  <c r="E46" i="8"/>
  <c r="E22" i="8"/>
  <c r="E28" i="8"/>
  <c r="E34" i="8"/>
  <c r="G9" i="8"/>
  <c r="D4" i="5"/>
  <c r="D15" i="9"/>
  <c r="D21" i="9"/>
  <c r="D18" i="9"/>
  <c r="D6" i="9"/>
  <c r="D9" i="19" s="1"/>
  <c r="D22" i="8"/>
  <c r="D34" i="8"/>
  <c r="D28" i="8"/>
  <c r="D46" i="8"/>
  <c r="D10" i="8"/>
  <c r="J39" i="8"/>
  <c r="I17" i="5"/>
  <c r="I25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K39" i="8" l="1"/>
  <c r="K17" i="5" s="1"/>
  <c r="K25" i="6" s="1"/>
  <c r="J17" i="5"/>
  <c r="J25" i="6" s="1"/>
  <c r="E9" i="19"/>
  <c r="J6" i="9"/>
  <c r="J9" i="19" s="1"/>
  <c r="I6" i="9"/>
  <c r="I9" i="19" s="1"/>
  <c r="H6" i="9"/>
  <c r="K6" i="9"/>
  <c r="K9" i="19" s="1"/>
  <c r="G6" i="9"/>
  <c r="E4" i="13"/>
  <c r="E6" i="5"/>
  <c r="E9" i="5" s="1"/>
  <c r="E12" i="5" s="1"/>
  <c r="H21" i="9"/>
  <c r="K21" i="9"/>
  <c r="G21" i="9"/>
  <c r="G20" i="9" s="1"/>
  <c r="G17" i="7" s="1"/>
  <c r="J21" i="9"/>
  <c r="I21" i="9"/>
  <c r="C4" i="13"/>
  <c r="C6" i="5"/>
  <c r="C9" i="5" s="1"/>
  <c r="C12" i="5" s="1"/>
  <c r="D4" i="13"/>
  <c r="D6" i="5"/>
  <c r="D9" i="5" s="1"/>
  <c r="D12" i="5" s="1"/>
  <c r="J15" i="9"/>
  <c r="I15" i="9"/>
  <c r="H15" i="9"/>
  <c r="K15" i="9"/>
  <c r="G15" i="9"/>
  <c r="G14" i="9" s="1"/>
  <c r="G5" i="7" s="1"/>
  <c r="G4" i="5"/>
  <c r="G33" i="8"/>
  <c r="G14" i="5" s="1"/>
  <c r="G9" i="6" s="1"/>
  <c r="G45" i="8"/>
  <c r="G18" i="5" s="1"/>
  <c r="G21" i="6" s="1"/>
  <c r="G27" i="8"/>
  <c r="G11" i="5" s="1"/>
  <c r="H9" i="8"/>
  <c r="G21" i="8"/>
  <c r="I18" i="9"/>
  <c r="H18" i="9"/>
  <c r="K18" i="9"/>
  <c r="G18" i="9"/>
  <c r="G17" i="9" s="1"/>
  <c r="G10" i="7" s="1"/>
  <c r="J18" i="9"/>
  <c r="I5" i="5"/>
  <c r="J15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16" i="6" l="1"/>
  <c r="H17" i="9"/>
  <c r="H10" i="7" s="1"/>
  <c r="G18" i="6"/>
  <c r="G9" i="19"/>
  <c r="G5" i="9"/>
  <c r="G9" i="7" s="1"/>
  <c r="D15" i="5"/>
  <c r="D5" i="13"/>
  <c r="D6" i="13" s="1"/>
  <c r="H20" i="9"/>
  <c r="H17" i="7" s="1"/>
  <c r="G11" i="9"/>
  <c r="G16" i="7" s="1"/>
  <c r="G8" i="5"/>
  <c r="G8" i="9"/>
  <c r="G8" i="7" s="1"/>
  <c r="H14" i="9"/>
  <c r="H5" i="7" s="1"/>
  <c r="E15" i="5"/>
  <c r="E5" i="13"/>
  <c r="E6" i="13" s="1"/>
  <c r="H9" i="19"/>
  <c r="H5" i="9"/>
  <c r="H9" i="7" s="1"/>
  <c r="K15" i="8"/>
  <c r="K5" i="5" s="1"/>
  <c r="J5" i="5"/>
  <c r="H27" i="8"/>
  <c r="H11" i="5" s="1"/>
  <c r="I9" i="8"/>
  <c r="H21" i="8"/>
  <c r="H4" i="5"/>
  <c r="H33" i="8"/>
  <c r="H14" i="5" s="1"/>
  <c r="H9" i="6" s="1"/>
  <c r="H45" i="8"/>
  <c r="H18" i="5" s="1"/>
  <c r="H21" i="6" s="1"/>
  <c r="G6" i="5"/>
  <c r="G4" i="13"/>
  <c r="C15" i="5"/>
  <c r="C19" i="5" s="1"/>
  <c r="C5" i="13"/>
  <c r="C6" i="13" s="1"/>
  <c r="E8" i="3"/>
  <c r="K17" i="3"/>
  <c r="J17" i="3"/>
  <c r="F8" i="3"/>
  <c r="D8" i="3"/>
  <c r="L17" i="3"/>
  <c r="L8" i="3"/>
  <c r="E21" i="7" s="1"/>
  <c r="K8" i="3"/>
  <c r="D21" i="7" s="1"/>
  <c r="J8" i="3"/>
  <c r="C21" i="7" s="1"/>
  <c r="C23" i="7" s="1"/>
  <c r="C26" i="7" s="1"/>
  <c r="G9" i="5" l="1"/>
  <c r="G12" i="5" s="1"/>
  <c r="E23" i="7"/>
  <c r="E26" i="7" s="1"/>
  <c r="H18" i="6"/>
  <c r="G6" i="19"/>
  <c r="G14" i="6"/>
  <c r="G5" i="19"/>
  <c r="G13" i="6"/>
  <c r="H4" i="13"/>
  <c r="H6" i="5"/>
  <c r="H11" i="9"/>
  <c r="H16" i="7" s="1"/>
  <c r="H8" i="5"/>
  <c r="H8" i="9"/>
  <c r="H8" i="7" s="1"/>
  <c r="G12" i="6"/>
  <c r="G15" i="6" s="1"/>
  <c r="G4" i="19"/>
  <c r="G7" i="19" s="1"/>
  <c r="D23" i="7"/>
  <c r="D26" i="7" s="1"/>
  <c r="C24" i="5"/>
  <c r="C22" i="5"/>
  <c r="C52" i="8" s="1"/>
  <c r="I20" i="9"/>
  <c r="I17" i="7" s="1"/>
  <c r="I27" i="8"/>
  <c r="I11" i="5" s="1"/>
  <c r="I14" i="9"/>
  <c r="I5" i="7" s="1"/>
  <c r="I4" i="5"/>
  <c r="I5" i="9"/>
  <c r="I9" i="7" s="1"/>
  <c r="I33" i="8"/>
  <c r="I14" i="5" s="1"/>
  <c r="I9" i="6" s="1"/>
  <c r="I45" i="8"/>
  <c r="I18" i="5" s="1"/>
  <c r="I21" i="6" s="1"/>
  <c r="J9" i="8"/>
  <c r="I21" i="8"/>
  <c r="I17" i="9"/>
  <c r="I10" i="7" s="1"/>
  <c r="H5" i="19"/>
  <c r="H13" i="6"/>
  <c r="E19" i="5"/>
  <c r="E4" i="6"/>
  <c r="D4" i="6"/>
  <c r="D19" i="5"/>
  <c r="H16" i="6"/>
  <c r="D19" i="3"/>
  <c r="F19" i="3"/>
  <c r="L19" i="3"/>
  <c r="J19" i="3"/>
  <c r="K19" i="3"/>
  <c r="E19" i="3"/>
  <c r="I16" i="6" l="1"/>
  <c r="G5" i="13"/>
  <c r="G6" i="13" s="1"/>
  <c r="G15" i="5"/>
  <c r="E24" i="5"/>
  <c r="E28" i="6" s="1"/>
  <c r="E22" i="5"/>
  <c r="I8" i="9"/>
  <c r="I8" i="7" s="1"/>
  <c r="I11" i="9"/>
  <c r="I16" i="7" s="1"/>
  <c r="I8" i="5"/>
  <c r="I5" i="19"/>
  <c r="I13" i="6"/>
  <c r="D24" i="5"/>
  <c r="D28" i="6" s="1"/>
  <c r="D22" i="5"/>
  <c r="J14" i="9"/>
  <c r="J5" i="7" s="1"/>
  <c r="J20" i="9"/>
  <c r="J17" i="7" s="1"/>
  <c r="J27" i="8"/>
  <c r="J11" i="5" s="1"/>
  <c r="J17" i="9"/>
  <c r="J10" i="7" s="1"/>
  <c r="J4" i="5"/>
  <c r="J5" i="9"/>
  <c r="J9" i="7" s="1"/>
  <c r="J33" i="8"/>
  <c r="J14" i="5" s="1"/>
  <c r="J9" i="6" s="1"/>
  <c r="J45" i="8"/>
  <c r="J18" i="5" s="1"/>
  <c r="J21" i="6" s="1"/>
  <c r="K9" i="8"/>
  <c r="J21" i="8"/>
  <c r="I6" i="5"/>
  <c r="I4" i="13"/>
  <c r="H6" i="19"/>
  <c r="H14" i="6"/>
  <c r="I18" i="6"/>
  <c r="H4" i="19"/>
  <c r="H7" i="19" s="1"/>
  <c r="H12" i="6"/>
  <c r="H15" i="6" s="1"/>
  <c r="H9" i="5"/>
  <c r="H12" i="5" s="1"/>
  <c r="L22" i="3"/>
  <c r="K22" i="3"/>
  <c r="J22" i="3"/>
  <c r="J16" i="6" l="1"/>
  <c r="G19" i="5"/>
  <c r="G21" i="5" s="1"/>
  <c r="G24" i="5" s="1"/>
  <c r="G21" i="7" s="1"/>
  <c r="G23" i="7" s="1"/>
  <c r="G4" i="6"/>
  <c r="G5" i="6" s="1"/>
  <c r="G7" i="6" s="1"/>
  <c r="G10" i="6" s="1"/>
  <c r="G23" i="6" s="1"/>
  <c r="G8" i="11" s="1"/>
  <c r="I9" i="5"/>
  <c r="I12" i="5" s="1"/>
  <c r="I14" i="6"/>
  <c r="I6" i="19"/>
  <c r="H15" i="5"/>
  <c r="H5" i="13"/>
  <c r="H6" i="13" s="1"/>
  <c r="J8" i="5"/>
  <c r="J11" i="9"/>
  <c r="J16" i="7" s="1"/>
  <c r="J8" i="9"/>
  <c r="J8" i="7" s="1"/>
  <c r="J13" i="6"/>
  <c r="J5" i="19"/>
  <c r="I4" i="19"/>
  <c r="I7" i="19" s="1"/>
  <c r="I12" i="6"/>
  <c r="I15" i="6" s="1"/>
  <c r="K4" i="5"/>
  <c r="K14" i="9"/>
  <c r="K5" i="7" s="1"/>
  <c r="K45" i="8"/>
  <c r="K18" i="5" s="1"/>
  <c r="K21" i="6" s="1"/>
  <c r="K20" i="9"/>
  <c r="K17" i="7" s="1"/>
  <c r="K33" i="8"/>
  <c r="K14" i="5" s="1"/>
  <c r="K9" i="6" s="1"/>
  <c r="K21" i="8"/>
  <c r="K27" i="8"/>
  <c r="K11" i="5" s="1"/>
  <c r="K17" i="9"/>
  <c r="K10" i="7" s="1"/>
  <c r="K5" i="9"/>
  <c r="K9" i="7" s="1"/>
  <c r="J4" i="13"/>
  <c r="J6" i="5"/>
  <c r="J18" i="6"/>
  <c r="E52" i="8"/>
  <c r="E6" i="6"/>
  <c r="E5" i="6" s="1"/>
  <c r="D52" i="8"/>
  <c r="D6" i="6"/>
  <c r="D5" i="6" s="1"/>
  <c r="G28" i="6"/>
  <c r="G26" i="6" l="1"/>
  <c r="G30" i="6" s="1"/>
  <c r="G33" i="6" s="1"/>
  <c r="K16" i="6"/>
  <c r="J9" i="5"/>
  <c r="J12" i="5" s="1"/>
  <c r="I15" i="5"/>
  <c r="I5" i="13"/>
  <c r="I6" i="13" s="1"/>
  <c r="D26" i="6"/>
  <c r="D7" i="6"/>
  <c r="J12" i="6"/>
  <c r="J4" i="19"/>
  <c r="H19" i="5"/>
  <c r="H21" i="5" s="1"/>
  <c r="H4" i="6"/>
  <c r="J14" i="6"/>
  <c r="J6" i="19"/>
  <c r="E7" i="6"/>
  <c r="E10" i="6" s="1"/>
  <c r="E23" i="6" s="1"/>
  <c r="E26" i="6"/>
  <c r="K8" i="5"/>
  <c r="K11" i="9"/>
  <c r="K16" i="7" s="1"/>
  <c r="K8" i="9"/>
  <c r="K8" i="7" s="1"/>
  <c r="K18" i="6"/>
  <c r="K13" i="6"/>
  <c r="K5" i="19"/>
  <c r="K4" i="13"/>
  <c r="K6" i="5"/>
  <c r="C4" i="14"/>
  <c r="G11" i="11"/>
  <c r="C5" i="14" s="1"/>
  <c r="G12" i="7" l="1"/>
  <c r="H32" i="6" s="1"/>
  <c r="I19" i="5"/>
  <c r="I21" i="5" s="1"/>
  <c r="I24" i="5" s="1"/>
  <c r="I4" i="6"/>
  <c r="I5" i="6" s="1"/>
  <c r="I7" i="6" s="1"/>
  <c r="I10" i="6" s="1"/>
  <c r="I23" i="6" s="1"/>
  <c r="I8" i="11" s="1"/>
  <c r="J15" i="5"/>
  <c r="J5" i="13"/>
  <c r="J6" i="13" s="1"/>
  <c r="K14" i="6"/>
  <c r="K6" i="19"/>
  <c r="J7" i="19"/>
  <c r="J15" i="6"/>
  <c r="K9" i="5"/>
  <c r="K12" i="5" s="1"/>
  <c r="E30" i="6"/>
  <c r="E33" i="6" s="1"/>
  <c r="E36" i="6" s="1"/>
  <c r="H5" i="6"/>
  <c r="H26" i="6" s="1"/>
  <c r="D10" i="6"/>
  <c r="D23" i="6" s="1"/>
  <c r="D30" i="6" s="1"/>
  <c r="D33" i="6" s="1"/>
  <c r="D36" i="6" s="1"/>
  <c r="K4" i="19"/>
  <c r="K7" i="19" s="1"/>
  <c r="K12" i="6"/>
  <c r="H24" i="5"/>
  <c r="H21" i="7" s="1"/>
  <c r="K15" i="6" l="1"/>
  <c r="H7" i="6"/>
  <c r="H10" i="6" s="1"/>
  <c r="H23" i="6" s="1"/>
  <c r="H8" i="11" s="1"/>
  <c r="D4" i="14" s="1"/>
  <c r="I26" i="6"/>
  <c r="G35" i="6"/>
  <c r="G36" i="6" s="1"/>
  <c r="G14" i="7"/>
  <c r="G26" i="7" s="1"/>
  <c r="I21" i="7"/>
  <c r="I23" i="7" s="1"/>
  <c r="J19" i="5"/>
  <c r="J21" i="5" s="1"/>
  <c r="J24" i="5" s="1"/>
  <c r="J4" i="6"/>
  <c r="J5" i="6" s="1"/>
  <c r="H28" i="6"/>
  <c r="H30" i="6" s="1"/>
  <c r="H12" i="7" s="1"/>
  <c r="I32" i="6" s="1"/>
  <c r="H23" i="7"/>
  <c r="K15" i="5"/>
  <c r="K5" i="13"/>
  <c r="K6" i="13" s="1"/>
  <c r="E4" i="14"/>
  <c r="I11" i="11"/>
  <c r="E5" i="14" s="1"/>
  <c r="J21" i="7" l="1"/>
  <c r="J26" i="6"/>
  <c r="H11" i="11"/>
  <c r="D5" i="14" s="1"/>
  <c r="I28" i="6"/>
  <c r="I30" i="6" s="1"/>
  <c r="I12" i="7" s="1"/>
  <c r="J7" i="6"/>
  <c r="J10" i="6" s="1"/>
  <c r="J23" i="6" s="1"/>
  <c r="J8" i="11" s="1"/>
  <c r="H14" i="7"/>
  <c r="H26" i="7" s="1"/>
  <c r="H35" i="6"/>
  <c r="K19" i="5"/>
  <c r="K21" i="5" s="1"/>
  <c r="K4" i="6"/>
  <c r="H33" i="6"/>
  <c r="J28" i="6"/>
  <c r="J23" i="7"/>
  <c r="I33" i="6" l="1"/>
  <c r="J30" i="6"/>
  <c r="J12" i="7" s="1"/>
  <c r="H36" i="6"/>
  <c r="K5" i="6"/>
  <c r="K7" i="6"/>
  <c r="K10" i="6" s="1"/>
  <c r="K23" i="6" s="1"/>
  <c r="K8" i="11" s="1"/>
  <c r="G4" i="14" s="1"/>
  <c r="K24" i="5"/>
  <c r="K21" i="7" s="1"/>
  <c r="K26" i="6"/>
  <c r="J32" i="6"/>
  <c r="I35" i="6"/>
  <c r="I36" i="6" s="1"/>
  <c r="I14" i="7"/>
  <c r="I26" i="7" s="1"/>
  <c r="F4" i="14"/>
  <c r="J11" i="11"/>
  <c r="F5" i="14" s="1"/>
  <c r="K28" i="6"/>
  <c r="K23" i="7"/>
  <c r="K30" i="6" l="1"/>
  <c r="K12" i="7" s="1"/>
  <c r="J33" i="6"/>
  <c r="K11" i="11"/>
  <c r="C16" i="11"/>
  <c r="C17" i="11" s="1"/>
  <c r="C15" i="11"/>
  <c r="G5" i="14"/>
  <c r="J35" i="6"/>
  <c r="J36" i="6" s="1"/>
  <c r="K32" i="6"/>
  <c r="J14" i="7"/>
  <c r="J26" i="7" s="1"/>
  <c r="C18" i="11" l="1"/>
  <c r="K33" i="6"/>
  <c r="K35" i="6"/>
  <c r="K14" i="7"/>
  <c r="K26" i="7" s="1"/>
  <c r="K36" i="6" l="1"/>
  <c r="G25" i="11"/>
  <c r="C21" i="11"/>
  <c r="E17" i="11"/>
  <c r="E15" i="11"/>
</calcChain>
</file>

<file path=xl/sharedStrings.xml><?xml version="1.0" encoding="utf-8"?>
<sst xmlns="http://schemas.openxmlformats.org/spreadsheetml/2006/main" count="466" uniqueCount="278">
  <si>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</si>
  <si>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</si>
  <si>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</si>
  <si>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</si>
  <si>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</si>
  <si>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</si>
  <si>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</si>
  <si>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</si>
  <si>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</si>
  <si>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</si>
  <si>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</si>
  <si>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</si>
  <si>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</si>
  <si>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</si>
  <si>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</si>
  <si>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</si>
  <si>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</si>
  <si>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</si>
  <si>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</si>
  <si>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</si>
  <si>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</si>
  <si>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</si>
  <si>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</si>
  <si>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</si>
  <si>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</si>
  <si>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</si>
  <si>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</si>
  <si>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</si>
  <si>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</si>
  <si>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</si>
  <si>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</si>
  <si>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</si>
  <si>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</si>
  <si>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</si>
  <si>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</si>
  <si>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</si>
  <si>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</si>
  <si>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</si>
  <si>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</si>
  <si>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</si>
  <si>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</si>
  <si>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</si>
  <si>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</si>
  <si>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</si>
  <si>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</si>
  <si>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</si>
  <si>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</si>
  <si>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</si>
  <si>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</si>
  <si>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</si>
  <si>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</si>
  <si>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</si>
  <si>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</si>
  <si>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</si>
  <si>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</si>
  <si>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</si>
  <si>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</si>
  <si>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</si>
  <si>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</si>
  <si>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</si>
  <si>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</si>
  <si>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</si>
  <si>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</si>
  <si>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</si>
  <si>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</si>
  <si>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</si>
  <si>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</si>
  <si>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</si>
  <si>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</si>
  <si>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</si>
  <si>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</si>
  <si>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</si>
  <si>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</si>
  <si>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</si>
  <si>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</si>
  <si>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</si>
  <si>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</si>
  <si>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</si>
  <si>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</si>
  <si>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</si>
  <si>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</si>
  <si>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</si>
  <si>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</si>
  <si>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</si>
  <si>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</si>
  <si>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</si>
  <si>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</si>
  <si>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</si>
  <si>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</si>
  <si>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</si>
  <si>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</si>
  <si>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</si>
  <si>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</si>
  <si>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</si>
  <si>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</si>
  <si>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</si>
  <si>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</si>
  <si>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</si>
  <si>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</si>
  <si>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</si>
  <si>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</si>
  <si>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</si>
  <si>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</si>
  <si>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</si>
  <si>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</si>
  <si>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</si>
  <si>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</si>
  <si>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</si>
  <si>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</si>
  <si>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</si>
  <si>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</si>
  <si>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</si>
  <si>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</si>
  <si>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</si>
  <si>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</si>
  <si>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</si>
  <si>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</si>
  <si>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</si>
  <si>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</si>
  <si>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</si>
  <si>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</si>
  <si>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</si>
  <si>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</si>
  <si>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</si>
  <si>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</si>
  <si>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</si>
  <si>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</si>
  <si>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</si>
  <si>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</si>
  <si>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</si>
  <si>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</si>
  <si>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</si>
  <si>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</si>
  <si>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</si>
  <si>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</si>
  <si>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</si>
  <si>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</si>
  <si>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EBITDA%</t>
  </si>
  <si>
    <t>Present value of UFCF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</si>
  <si>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</si>
  <si>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</si>
  <si>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</si>
  <si>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</si>
  <si>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</si>
  <si>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</si>
  <si>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</si>
  <si>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</si>
  <si>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</si>
  <si>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Add-back D&amp;A</t>
  </si>
  <si>
    <t>Gross Cash Flow</t>
  </si>
  <si>
    <t>FY22
Actual</t>
  </si>
  <si>
    <t>FY23
Actual</t>
  </si>
  <si>
    <t>FY24
Actual</t>
  </si>
  <si>
    <t>FY25
Forecast</t>
  </si>
  <si>
    <t>FY26
Forecast</t>
  </si>
  <si>
    <t>FY27
Forecast</t>
  </si>
  <si>
    <t>FY28
Forecast</t>
  </si>
  <si>
    <t>FY29
Forecast</t>
  </si>
  <si>
    <t>2022
Act</t>
  </si>
  <si>
    <t>2023
Act</t>
  </si>
  <si>
    <t>2024
Act</t>
  </si>
  <si>
    <t>USD in millions</t>
  </si>
  <si>
    <t>$ in millions</t>
  </si>
  <si>
    <t>Research and development</t>
  </si>
  <si>
    <t>Sales, general and administrative</t>
  </si>
  <si>
    <t>COGS</t>
  </si>
  <si>
    <t>OPEX</t>
  </si>
  <si>
    <t>Notes</t>
  </si>
  <si>
    <t>~20% of COGS is Raw Materials</t>
  </si>
  <si>
    <t>~80% of COGS is Direct Costs</t>
  </si>
  <si>
    <t>Manufacturing &amp; Foundry Services</t>
  </si>
  <si>
    <t>31Dec22
Act</t>
  </si>
  <si>
    <t>31Dec23
Act</t>
  </si>
  <si>
    <t>31Dec24
Act</t>
  </si>
  <si>
    <t>Cash and cash equivalents</t>
  </si>
  <si>
    <t>Marketable securities</t>
  </si>
  <si>
    <t>Accounts receivable, net</t>
  </si>
  <si>
    <t>Inventories</t>
  </si>
  <si>
    <t>Property and equipment, net</t>
  </si>
  <si>
    <t>31 Dec 22</t>
  </si>
  <si>
    <t>31 Dec 23</t>
  </si>
  <si>
    <t>31 Dec 24</t>
  </si>
  <si>
    <t>Category</t>
  </si>
  <si>
    <t>What’s included</t>
  </si>
  <si>
    <t>Cash &amp; Cash Equivalents</t>
  </si>
  <si>
    <t>Financial Assets</t>
  </si>
  <si>
    <t>Trade Receivables</t>
  </si>
  <si>
    <t>PP&amp;E (net)</t>
  </si>
  <si>
    <t>Intangible Assets</t>
  </si>
  <si>
    <r>
      <t xml:space="preserve">Goodwill </t>
    </r>
    <r>
      <rPr>
        <b/>
        <sz val="11"/>
        <color theme="1"/>
        <rFont val="Calibri"/>
        <family val="2"/>
        <scheme val="minor"/>
      </rPr>
      <t>+</t>
    </r>
    <r>
      <rPr>
        <sz val="11"/>
        <color theme="1"/>
        <rFont val="Calibri"/>
        <family val="2"/>
        <scheme val="minor"/>
      </rPr>
      <t xml:space="preserve"> Intangible assets, net</t>
    </r>
  </si>
  <si>
    <t>6,688 (4,349 + 2,339)</t>
  </si>
  <si>
    <t>6,048 (4,372 + 1,676)</t>
  </si>
  <si>
    <t>5,542 (4,430 + 1,112)</t>
  </si>
  <si>
    <t>Other Assets</t>
  </si>
  <si>
    <t>Prepaid expenses &amp; other current assets</t>
  </si>
  <si>
    <t>+ Operating‑lease ROU assets</t>
  </si>
  <si>
    <t>+ Deferred tax assets</t>
  </si>
  <si>
    <t>+ Other non‑current assets</t>
  </si>
  <si>
    <t>6,258</t>
  </si>
  <si>
    <t>Sum of all categories above</t>
  </si>
  <si>
    <t>ASSETS FROM OFFICIAL BS vs ABOVE</t>
  </si>
  <si>
    <t>Accounts payable</t>
  </si>
  <si>
    <t>Mapped lines</t>
  </si>
  <si>
    <t>Share Capital</t>
  </si>
  <si>
    <t>Common stock (preferred stock is zero)</t>
  </si>
  <si>
    <t>Additional paid‑in capital ± Accumulated OCI</t>
  </si>
  <si>
    <t>10,374 (10,385 − 11)</t>
  </si>
  <si>
    <t>11,928 (11,971 − 43)</t>
  </si>
  <si>
    <t>13,159 (13,132 + 27)</t>
  </si>
  <si>
    <t>Retained Earnings</t>
  </si>
  <si>
    <r>
      <t>Profit /(loss) for the year</t>
    </r>
    <r>
      <rPr>
        <sz val="11"/>
        <color theme="1"/>
        <rFont val="Calibri"/>
        <family val="2"/>
        <scheme val="minor"/>
      </rPr>
      <t>*</t>
    </r>
  </si>
  <si>
    <t>FY Net Income (memo only—not part of balance‑sheet total)</t>
  </si>
  <si>
    <t>Trade Payables</t>
  </si>
  <si>
    <t>Other Liabilities</t>
  </si>
  <si>
    <t>Accrued &amp; other current liabilities + Other long‑term liabilities</t>
  </si>
  <si>
    <t>4,105 (2,552 + 1,553)</t>
  </si>
  <si>
    <t>6,033 (4,120 + 1,913)</t>
  </si>
  <si>
    <t>9,223 (6,682 + 2,541)</t>
  </si>
  <si>
    <t>Deferred Taxes</t>
  </si>
  <si>
    <t>(none disclosed on liability side)</t>
  </si>
  <si>
    <t>Provisions for Retirement Benefits</t>
  </si>
  <si>
    <t>(not broken out in filings)</t>
  </si>
  <si>
    <t>Bank Borrowings</t>
  </si>
  <si>
    <t>Short‑term debt + Long‑term debt</t>
  </si>
  <si>
    <t>10,953 (1,250 + 9,703)</t>
  </si>
  <si>
    <t>9,709 (1,250 + 8,459)</t>
  </si>
  <si>
    <t>Other Financial Liabilities</t>
  </si>
  <si>
    <t>Long‑term operating‑lease liabilities</t>
  </si>
  <si>
    <r>
      <t>TOTAL</t>
    </r>
    <r>
      <rPr>
        <sz val="11"/>
        <color theme="1"/>
        <rFont val="Calibri"/>
        <family val="2"/>
        <scheme val="minor"/>
      </rPr>
      <t xml:space="preserve"> (sum of balance‑sheet items only)</t>
    </r>
  </si>
  <si>
    <t>Already embedded in Retained Earnings</t>
  </si>
  <si>
    <t>LIABILITES FROM OFFICIAL BS vs ABOVE</t>
  </si>
  <si>
    <t>Sum of the present value of Cash Flows for the period 2025-2029</t>
  </si>
  <si>
    <t>WACC = % of equity * Cost of equity + % of debt * Cost of debt * (1 - Corporate tax rate)</t>
  </si>
  <si>
    <t>Cost of equity = Cost of equity + company Beta * (Market Risk Premium - Risk-free return)</t>
  </si>
  <si>
    <t>WACC (March 5, 2024)</t>
  </si>
  <si>
    <t>Market cap</t>
  </si>
  <si>
    <t xml:space="preserve">% </t>
  </si>
  <si>
    <t>Cost of equity</t>
  </si>
  <si>
    <t xml:space="preserve">Risk Free rate </t>
  </si>
  <si>
    <t>Beta</t>
  </si>
  <si>
    <t>Market Risk Premium</t>
  </si>
  <si>
    <t>Debt</t>
  </si>
  <si>
    <t>%</t>
  </si>
  <si>
    <t>Cost of debt</t>
  </si>
  <si>
    <t>Tax Rate</t>
  </si>
  <si>
    <t>Loan</t>
  </si>
  <si>
    <t>Expected Remaining
Term (years)</t>
  </si>
  <si>
    <t>Effective
Interest Rate</t>
  </si>
  <si>
    <t>Risk-Free
Rate</t>
  </si>
  <si>
    <t>Cost of
Equity</t>
  </si>
  <si>
    <t>Cost of 
Debt (After tax)</t>
  </si>
  <si>
    <t>(Adjusted)
BETA</t>
  </si>
  <si>
    <t>Equity Risk
Premium</t>
  </si>
  <si>
    <t>Total Notional Value</t>
  </si>
  <si>
    <t>Total Annual Debt</t>
  </si>
  <si>
    <r>
      <t>0.584 % Notes </t>
    </r>
    <r>
      <rPr>
        <b/>
        <sz val="11"/>
        <color theme="1"/>
        <rFont val="Calibri"/>
        <family val="2"/>
        <scheme val="minor"/>
      </rPr>
      <t>Due 2024</t>
    </r>
  </si>
  <si>
    <t> — (repaid)</t>
  </si>
  <si>
    <t> 0.66 %</t>
  </si>
  <si>
    <r>
      <t>3.20 % Notes </t>
    </r>
    <r>
      <rPr>
        <b/>
        <sz val="11"/>
        <color theme="1"/>
        <rFont val="Calibri"/>
        <family val="2"/>
        <scheme val="minor"/>
      </rPr>
      <t>Due 2026</t>
    </r>
  </si>
  <si>
    <t>3.31 %</t>
  </si>
  <si>
    <r>
      <t>1.55 % Notes </t>
    </r>
    <r>
      <rPr>
        <b/>
        <sz val="11"/>
        <color theme="1"/>
        <rFont val="Calibri"/>
        <family val="2"/>
        <scheme val="minor"/>
      </rPr>
      <t>Due 2028</t>
    </r>
  </si>
  <si>
    <t>1.64 %</t>
  </si>
  <si>
    <r>
      <t>2.85 % Notes </t>
    </r>
    <r>
      <rPr>
        <b/>
        <sz val="11"/>
        <color theme="1"/>
        <rFont val="Calibri"/>
        <family val="2"/>
        <scheme val="minor"/>
      </rPr>
      <t>Due 2030</t>
    </r>
  </si>
  <si>
    <t>2.93 %</t>
  </si>
  <si>
    <r>
      <t>2.00 % Notes </t>
    </r>
    <r>
      <rPr>
        <b/>
        <sz val="11"/>
        <color theme="1"/>
        <rFont val="Calibri"/>
        <family val="2"/>
        <scheme val="minor"/>
      </rPr>
      <t>Due 2031</t>
    </r>
  </si>
  <si>
    <t>2.09 %</t>
  </si>
  <si>
    <r>
      <t>3.50 % Notes </t>
    </r>
    <r>
      <rPr>
        <b/>
        <sz val="11"/>
        <color theme="1"/>
        <rFont val="Calibri"/>
        <family val="2"/>
        <scheme val="minor"/>
      </rPr>
      <t>Due 2040</t>
    </r>
  </si>
  <si>
    <t>3.54 %</t>
  </si>
  <si>
    <r>
      <t>3.50 % Notes </t>
    </r>
    <r>
      <rPr>
        <b/>
        <sz val="11"/>
        <color theme="1"/>
        <rFont val="Calibri"/>
        <family val="2"/>
        <scheme val="minor"/>
      </rPr>
      <t>Due 2050</t>
    </r>
  </si>
  <si>
    <r>
      <t>3.70 % Notes </t>
    </r>
    <r>
      <rPr>
        <b/>
        <sz val="11"/>
        <color theme="1"/>
        <rFont val="Calibri"/>
        <family val="2"/>
        <scheme val="minor"/>
      </rPr>
      <t>Due 2060</t>
    </r>
  </si>
  <si>
    <t>3.73 %</t>
  </si>
  <si>
    <t>Annual Interest (USD MM)</t>
  </si>
  <si>
    <t>Notional
Value (USD MM)</t>
  </si>
  <si>
    <t>Yahoo Finance &amp; Online</t>
  </si>
  <si>
    <t>WACC Inputs</t>
  </si>
  <si>
    <t>COST OF DEBT CALCULATION</t>
  </si>
  <si>
    <t>Nvidia</t>
  </si>
  <si>
    <t>Company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</si>
</sst>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  <numFmt numFmtId="182" formatCode="0.0"/>
    <numFmt numFmtId="187" formatCode="_ * #,##0.00_)_ ;_ * \(#,##0.00\)_ ;_ * &quot;-&quot;??_)_ ;_ @_ "/>
    <numFmt numFmtId="188" formatCode="_(&quot;$&quot;* #,##0.00_);_(&quot;$&quot;* \(#,##0.00\);_(&quot;$&quot;* &quot;-&quot;_);_(@_)"/>
    <numFmt numFmtId="189" formatCode="0.0000%"/>
  </numFmts>
  <fonts count="7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b/>
      <sz val="40"/>
      <color rgb="FF002060"/>
      <name val="Arial"/>
      <family val="2"/>
      <charset val="204"/>
    </font>
    <font>
      <sz val="10"/>
      <color rgb="FF002060"/>
      <name val="Arial"/>
      <family val="2"/>
      <charset val="20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theme="9"/>
      </patternFill>
    </fill>
    <fill>
      <patternFill patternType="solid">
        <fgColor theme="0"/>
        <bgColor rgb="FF000000"/>
      </patternFill>
    </fill>
    <fill>
      <patternFill patternType="solid">
        <fgColor theme="3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rgb="FF00206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8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  <xf numFmtId="44" fontId="7" fillId="0" borderId="0" applyFont="0" applyFill="0" applyBorder="0" applyAlignment="0" applyProtection="0"/>
  </cellStyleXfs>
  <cellXfs count="20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  <xf numFmtId="164" fontId="6" fillId="2" borderId="20" xfId="0" applyNumberFormat="1" applyFont="1" applyFill="1" applyBorder="1"/>
    <xf numFmtId="166" fontId="6" fillId="2" borderId="20" xfId="0" applyNumberFormat="1" applyFont="1" applyFill="1" applyBorder="1"/>
    <xf numFmtId="166" fontId="1" fillId="2" borderId="20" xfId="0" applyNumberFormat="1" applyFont="1" applyFill="1" applyBorder="1"/>
    <xf numFmtId="166" fontId="6" fillId="3" borderId="20" xfId="0" applyNumberFormat="1" applyFont="1" applyFill="1" applyBorder="1"/>
    <xf numFmtId="166" fontId="12" fillId="2" borderId="19" xfId="0" applyNumberFormat="1" applyFont="1" applyFill="1" applyBorder="1"/>
    <xf numFmtId="166" fontId="6" fillId="3" borderId="19" xfId="0" applyNumberFormat="1" applyFont="1" applyFill="1" applyBorder="1"/>
    <xf numFmtId="165" fontId="9" fillId="48" borderId="0" xfId="0" applyNumberFormat="1" applyFont="1" applyFill="1" applyBorder="1"/>
    <xf numFmtId="169" fontId="9" fillId="48" borderId="0" xfId="0" applyNumberFormat="1" applyFont="1" applyFill="1" applyBorder="1"/>
    <xf numFmtId="165" fontId="9" fillId="48" borderId="0" xfId="0" applyNumberFormat="1" applyFont="1" applyFill="1"/>
    <xf numFmtId="180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4" fontId="1" fillId="47" borderId="0" xfId="0" applyNumberFormat="1" applyFont="1" applyFill="1" applyBorder="1"/>
    <xf numFmtId="166" fontId="1" fillId="47" borderId="0" xfId="0" applyNumberFormat="1" applyFont="1" applyFill="1" applyBorder="1"/>
    <xf numFmtId="164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9" fontId="6" fillId="2" borderId="4" xfId="2" applyFont="1" applyFill="1" applyBorder="1"/>
    <xf numFmtId="9" fontId="6" fillId="2" borderId="22" xfId="2" applyFont="1" applyFill="1" applyBorder="1"/>
    <xf numFmtId="168" fontId="1" fillId="2" borderId="0" xfId="3" applyNumberFormat="1" applyFont="1" applyFill="1"/>
    <xf numFmtId="168" fontId="1" fillId="3" borderId="0" xfId="3" applyNumberFormat="1" applyFont="1" applyFill="1"/>
    <xf numFmtId="0" fontId="3" fillId="2" borderId="19" xfId="0" applyFont="1" applyFill="1" applyBorder="1"/>
    <xf numFmtId="168" fontId="3" fillId="2" borderId="19" xfId="3" applyNumberFormat="1" applyFont="1" applyFill="1" applyBorder="1"/>
    <xf numFmtId="168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67" fontId="1" fillId="2" borderId="0" xfId="0" applyNumberFormat="1" applyFont="1" applyFill="1"/>
    <xf numFmtId="0" fontId="63" fillId="49" borderId="0" xfId="134" applyNumberFormat="1" applyFon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48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wrapText="1"/>
    </xf>
    <xf numFmtId="0" fontId="67" fillId="2" borderId="0" xfId="0" applyFont="1" applyFill="1" applyBorder="1"/>
    <xf numFmtId="0" fontId="0" fillId="2" borderId="0" xfId="0" applyFill="1" applyBorder="1"/>
    <xf numFmtId="0" fontId="68" fillId="2" borderId="0" xfId="0" applyFont="1" applyFill="1" applyBorder="1"/>
    <xf numFmtId="3" fontId="1" fillId="2" borderId="0" xfId="0" applyNumberFormat="1" applyFont="1" applyFill="1"/>
    <xf numFmtId="0" fontId="0" fillId="50" borderId="0" xfId="0" applyFill="1" applyBorder="1"/>
    <xf numFmtId="44" fontId="13" fillId="50" borderId="0" xfId="167" applyFont="1" applyFill="1" applyBorder="1" applyAlignment="1">
      <alignment vertical="top"/>
    </xf>
    <xf numFmtId="44" fontId="13" fillId="50" borderId="0" xfId="167" applyFont="1" applyFill="1" applyBorder="1" applyAlignment="1">
      <alignment horizontal="right" vertical="top"/>
    </xf>
    <xf numFmtId="44" fontId="13" fillId="2" borderId="0" xfId="167" applyFont="1" applyFill="1" applyBorder="1" applyAlignment="1">
      <alignment vertical="top"/>
    </xf>
    <xf numFmtId="44" fontId="13" fillId="2" borderId="0" xfId="167" applyFont="1" applyFill="1" applyBorder="1" applyAlignment="1">
      <alignment horizontal="right" vertical="top"/>
    </xf>
    <xf numFmtId="0" fontId="68" fillId="50" borderId="0" xfId="0" applyFont="1" applyFill="1" applyBorder="1"/>
    <xf numFmtId="44" fontId="0" fillId="50" borderId="0" xfId="167" applyFont="1" applyFill="1" applyBorder="1" applyAlignment="1">
      <alignment horizontal="right" vertical="top"/>
    </xf>
    <xf numFmtId="2" fontId="67" fillId="51" borderId="0" xfId="0" applyNumberFormat="1" applyFont="1" applyFill="1" applyBorder="1" applyAlignment="1">
      <alignment horizontal="center"/>
    </xf>
    <xf numFmtId="0" fontId="0" fillId="50" borderId="0" xfId="0" applyFill="1" applyBorder="1" applyAlignment="1">
      <alignment horizontal="right" vertical="top"/>
    </xf>
    <xf numFmtId="0" fontId="13" fillId="50" borderId="0" xfId="151" applyFont="1" applyFill="1" applyBorder="1" applyAlignment="1">
      <alignment vertical="top"/>
    </xf>
    <xf numFmtId="0" fontId="0" fillId="2" borderId="0" xfId="0" applyFill="1" applyBorder="1" applyAlignment="1">
      <alignment horizontal="right" vertical="top"/>
    </xf>
    <xf numFmtId="0" fontId="13" fillId="2" borderId="0" xfId="151" applyFont="1" applyFill="1" applyBorder="1" applyAlignment="1">
      <alignment vertical="top"/>
    </xf>
    <xf numFmtId="43" fontId="13" fillId="50" borderId="0" xfId="0" applyNumberFormat="1" applyFont="1" applyFill="1" applyBorder="1" applyAlignment="1">
      <alignment vertical="top"/>
    </xf>
    <xf numFmtId="43" fontId="13" fillId="50" borderId="0" xfId="0" applyNumberFormat="1" applyFont="1" applyFill="1" applyBorder="1" applyAlignment="1">
      <alignment horizontal="right" vertical="top"/>
    </xf>
    <xf numFmtId="187" fontId="13" fillId="50" borderId="0" xfId="151" applyNumberFormat="1" applyFont="1" applyFill="1" applyBorder="1" applyAlignment="1">
      <alignment vertical="top"/>
    </xf>
    <xf numFmtId="188" fontId="13" fillId="50" borderId="0" xfId="0" applyNumberFormat="1" applyFont="1" applyFill="1" applyBorder="1" applyAlignment="1">
      <alignment vertical="top"/>
    </xf>
    <xf numFmtId="188" fontId="13" fillId="50" borderId="0" xfId="167" applyNumberFormat="1" applyFont="1" applyFill="1" applyBorder="1" applyAlignment="1">
      <alignment horizontal="right" vertical="top"/>
    </xf>
    <xf numFmtId="188" fontId="13" fillId="50" borderId="0" xfId="0" applyNumberFormat="1" applyFont="1" applyFill="1" applyBorder="1" applyAlignment="1">
      <alignment horizontal="right" vertical="top"/>
    </xf>
    <xf numFmtId="188" fontId="13" fillId="50" borderId="0" xfId="151" applyNumberFormat="1" applyFont="1" applyFill="1" applyBorder="1" applyAlignment="1">
      <alignment vertical="top"/>
    </xf>
    <xf numFmtId="0" fontId="68" fillId="2" borderId="0" xfId="0" applyFont="1" applyFill="1" applyAlignment="1">
      <alignment horizontal="center" vertical="center" wrapText="1"/>
    </xf>
    <xf numFmtId="0" fontId="68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3" fontId="68" fillId="2" borderId="0" xfId="0" applyNumberFormat="1" applyFont="1" applyFill="1" applyAlignment="1">
      <alignment vertical="center" wrapText="1"/>
    </xf>
    <xf numFmtId="3" fontId="0" fillId="2" borderId="0" xfId="0" applyNumberFormat="1" applyFill="1" applyAlignment="1">
      <alignment vertical="center" wrapText="1"/>
    </xf>
    <xf numFmtId="164" fontId="3" fillId="2" borderId="11" xfId="0" applyNumberFormat="1" applyFont="1" applyFill="1" applyBorder="1" applyAlignment="1">
      <alignment horizontal="center"/>
    </xf>
    <xf numFmtId="0" fontId="68" fillId="0" borderId="11" xfId="0" applyFont="1" applyBorder="1" applyAlignment="1">
      <alignment horizontal="center" vertical="center" wrapText="1"/>
    </xf>
    <xf numFmtId="0" fontId="68" fillId="0" borderId="11" xfId="0" applyFont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3" fontId="68" fillId="0" borderId="11" xfId="0" applyNumberFormat="1" applyFont="1" applyBorder="1" applyAlignment="1">
      <alignment vertical="center" wrapText="1"/>
    </xf>
    <xf numFmtId="0" fontId="68" fillId="0" borderId="11" xfId="0" applyFont="1" applyBorder="1" applyAlignment="1">
      <alignment vertical="center" wrapText="1"/>
    </xf>
    <xf numFmtId="0" fontId="68" fillId="0" borderId="11" xfId="0" applyFont="1" applyBorder="1" applyAlignment="1">
      <alignment horizontal="center" vertical="center" wrapText="1"/>
    </xf>
    <xf numFmtId="3" fontId="68" fillId="0" borderId="11" xfId="0" applyNumberFormat="1" applyFont="1" applyBorder="1" applyAlignment="1">
      <alignment horizontal="center" vertical="center" wrapText="1"/>
    </xf>
    <xf numFmtId="3" fontId="0" fillId="0" borderId="11" xfId="0" applyNumberFormat="1" applyBorder="1" applyAlignment="1">
      <alignment vertical="center" wrapText="1"/>
    </xf>
    <xf numFmtId="0" fontId="69" fillId="2" borderId="0" xfId="0" applyFont="1" applyFill="1"/>
    <xf numFmtId="0" fontId="70" fillId="2" borderId="0" xfId="0" applyFont="1" applyFill="1"/>
    <xf numFmtId="0" fontId="71" fillId="52" borderId="0" xfId="0" applyFont="1" applyFill="1"/>
    <xf numFmtId="0" fontId="72" fillId="52" borderId="0" xfId="0" applyFont="1" applyFill="1"/>
    <xf numFmtId="0" fontId="71" fillId="2" borderId="0" xfId="0" applyFont="1" applyFill="1"/>
    <xf numFmtId="0" fontId="72" fillId="2" borderId="0" xfId="0" applyFont="1" applyFill="1"/>
    <xf numFmtId="3" fontId="70" fillId="2" borderId="0" xfId="0" applyNumberFormat="1" applyFont="1" applyFill="1" applyAlignment="1">
      <alignment horizontal="center"/>
    </xf>
    <xf numFmtId="0" fontId="70" fillId="2" borderId="0" xfId="0" applyFont="1" applyFill="1" applyAlignment="1">
      <alignment horizontal="center"/>
    </xf>
    <xf numFmtId="167" fontId="70" fillId="2" borderId="0" xfId="2" applyNumberFormat="1" applyFont="1" applyFill="1" applyBorder="1"/>
    <xf numFmtId="10" fontId="70" fillId="2" borderId="0" xfId="2" applyNumberFormat="1" applyFont="1" applyFill="1" applyBorder="1" applyAlignment="1">
      <alignment horizontal="center"/>
    </xf>
    <xf numFmtId="10" fontId="70" fillId="2" borderId="0" xfId="0" applyNumberFormat="1" applyFont="1" applyFill="1" applyAlignment="1">
      <alignment horizontal="center"/>
    </xf>
    <xf numFmtId="167" fontId="70" fillId="2" borderId="0" xfId="2" applyNumberFormat="1" applyFont="1" applyFill="1" applyBorder="1" applyAlignment="1">
      <alignment horizontal="center"/>
    </xf>
    <xf numFmtId="10" fontId="70" fillId="2" borderId="0" xfId="2" applyNumberFormat="1" applyFont="1" applyFill="1" applyBorder="1"/>
    <xf numFmtId="10" fontId="70" fillId="2" borderId="0" xfId="0" applyNumberFormat="1" applyFont="1" applyFill="1"/>
    <xf numFmtId="9" fontId="70" fillId="2" borderId="0" xfId="0" applyNumberFormat="1" applyFont="1" applyFill="1" applyAlignment="1">
      <alignment horizontal="center"/>
    </xf>
    <xf numFmtId="0" fontId="70" fillId="2" borderId="23" xfId="0" applyFont="1" applyFill="1" applyBorder="1" applyAlignment="1">
      <alignment vertical="center"/>
    </xf>
    <xf numFmtId="0" fontId="70" fillId="2" borderId="19" xfId="0" applyFont="1" applyFill="1" applyBorder="1" applyAlignment="1">
      <alignment vertical="center"/>
    </xf>
    <xf numFmtId="0" fontId="73" fillId="2" borderId="19" xfId="0" applyFont="1" applyFill="1" applyBorder="1" applyAlignment="1">
      <alignment horizontal="center" wrapText="1"/>
    </xf>
    <xf numFmtId="0" fontId="73" fillId="2" borderId="19" xfId="0" applyFont="1" applyFill="1" applyBorder="1" applyAlignment="1">
      <alignment horizontal="center" vertical="center" wrapText="1"/>
    </xf>
    <xf numFmtId="0" fontId="73" fillId="2" borderId="24" xfId="0" applyFont="1" applyFill="1" applyBorder="1" applyAlignment="1">
      <alignment horizontal="center" vertical="center"/>
    </xf>
    <xf numFmtId="0" fontId="70" fillId="2" borderId="25" xfId="0" applyFont="1" applyFill="1" applyBorder="1" applyAlignment="1">
      <alignment vertical="center"/>
    </xf>
    <xf numFmtId="0" fontId="70" fillId="2" borderId="0" xfId="0" applyFont="1" applyFill="1" applyAlignment="1">
      <alignment vertical="center"/>
    </xf>
    <xf numFmtId="10" fontId="70" fillId="2" borderId="0" xfId="2" applyNumberFormat="1" applyFont="1" applyFill="1" applyBorder="1" applyAlignment="1">
      <alignment horizontal="center" vertical="center"/>
    </xf>
    <xf numFmtId="0" fontId="70" fillId="2" borderId="0" xfId="0" applyFont="1" applyFill="1" applyAlignment="1">
      <alignment horizontal="center" vertical="center"/>
    </xf>
    <xf numFmtId="10" fontId="70" fillId="2" borderId="26" xfId="2" applyNumberFormat="1" applyFont="1" applyFill="1" applyBorder="1" applyAlignment="1">
      <alignment horizontal="center" vertical="center"/>
    </xf>
    <xf numFmtId="0" fontId="70" fillId="2" borderId="27" xfId="0" applyFont="1" applyFill="1" applyBorder="1" applyAlignment="1">
      <alignment vertical="center"/>
    </xf>
    <xf numFmtId="0" fontId="70" fillId="2" borderId="2" xfId="0" applyFont="1" applyFill="1" applyBorder="1" applyAlignment="1">
      <alignment vertical="center"/>
    </xf>
    <xf numFmtId="10" fontId="70" fillId="2" borderId="2" xfId="0" applyNumberFormat="1" applyFont="1" applyFill="1" applyBorder="1" applyAlignment="1">
      <alignment horizontal="center"/>
    </xf>
    <xf numFmtId="10" fontId="70" fillId="2" borderId="2" xfId="2" applyNumberFormat="1" applyFont="1" applyFill="1" applyBorder="1" applyAlignment="1">
      <alignment horizontal="center" vertical="center"/>
    </xf>
    <xf numFmtId="0" fontId="70" fillId="2" borderId="2" xfId="0" applyFont="1" applyFill="1" applyBorder="1" applyAlignment="1">
      <alignment horizontal="center" vertical="center"/>
    </xf>
    <xf numFmtId="167" fontId="70" fillId="2" borderId="28" xfId="2" applyNumberFormat="1" applyFont="1" applyFill="1" applyBorder="1" applyAlignment="1">
      <alignment horizontal="center" vertical="center"/>
    </xf>
    <xf numFmtId="189" fontId="70" fillId="2" borderId="0" xfId="0" applyNumberFormat="1" applyFont="1" applyFill="1"/>
    <xf numFmtId="0" fontId="73" fillId="2" borderId="11" xfId="0" applyFont="1" applyFill="1" applyBorder="1" applyAlignment="1">
      <alignment horizontal="center" wrapText="1"/>
    </xf>
    <xf numFmtId="0" fontId="73" fillId="2" borderId="11" xfId="0" applyFont="1" applyFill="1" applyBorder="1" applyAlignment="1">
      <alignment horizontal="center"/>
    </xf>
    <xf numFmtId="0" fontId="0" fillId="2" borderId="11" xfId="0" applyFill="1" applyBorder="1" applyAlignment="1">
      <alignment vertical="center" wrapText="1"/>
    </xf>
    <xf numFmtId="0" fontId="68" fillId="2" borderId="11" xfId="0" applyFont="1" applyFill="1" applyBorder="1" applyAlignment="1">
      <alignment vertical="center" wrapText="1"/>
    </xf>
    <xf numFmtId="3" fontId="0" fillId="2" borderId="11" xfId="0" applyNumberFormat="1" applyFill="1" applyBorder="1" applyAlignment="1">
      <alignment vertical="center" wrapText="1"/>
    </xf>
    <xf numFmtId="0" fontId="0" fillId="2" borderId="29" xfId="0" applyFill="1" applyBorder="1" applyAlignment="1">
      <alignment vertical="center" wrapText="1"/>
    </xf>
    <xf numFmtId="0" fontId="68" fillId="2" borderId="29" xfId="0" applyFont="1" applyFill="1" applyBorder="1" applyAlignment="1">
      <alignment vertical="center" wrapText="1"/>
    </xf>
    <xf numFmtId="3" fontId="70" fillId="2" borderId="11" xfId="0" applyNumberFormat="1" applyFont="1" applyFill="1" applyBorder="1" applyAlignment="1">
      <alignment horizontal="center"/>
    </xf>
    <xf numFmtId="182" fontId="70" fillId="2" borderId="11" xfId="0" applyNumberFormat="1" applyFont="1" applyFill="1" applyBorder="1" applyAlignment="1">
      <alignment horizontal="center"/>
    </xf>
    <xf numFmtId="10" fontId="70" fillId="2" borderId="11" xfId="2" applyNumberFormat="1" applyFont="1" applyFill="1" applyBorder="1" applyAlignment="1">
      <alignment horizontal="center"/>
    </xf>
    <xf numFmtId="0" fontId="74" fillId="2" borderId="2" xfId="0" applyFont="1" applyFill="1" applyBorder="1" applyAlignment="1">
      <alignment horizontal="center"/>
    </xf>
    <xf numFmtId="9" fontId="1" fillId="2" borderId="0" xfId="2" applyNumberFormat="1" applyFont="1" applyFill="1"/>
    <xf numFmtId="0" fontId="75" fillId="53" borderId="0" xfId="0" applyFont="1" applyFill="1"/>
    <xf numFmtId="0" fontId="76" fillId="53" borderId="0" xfId="0" applyFont="1" applyFill="1"/>
    <xf numFmtId="10" fontId="75" fillId="53" borderId="0" xfId="0" applyNumberFormat="1" applyFont="1" applyFill="1" applyAlignment="1">
      <alignment horizontal="center"/>
    </xf>
    <xf numFmtId="0" fontId="74" fillId="2" borderId="11" xfId="0" applyFont="1" applyFill="1" applyBorder="1" applyAlignment="1">
      <alignment horizontal="center"/>
    </xf>
    <xf numFmtId="0" fontId="74" fillId="2" borderId="11" xfId="0" applyFont="1" applyFill="1" applyBorder="1"/>
    <xf numFmtId="166" fontId="1" fillId="2" borderId="0" xfId="3" applyNumberFormat="1" applyFont="1" applyFill="1"/>
    <xf numFmtId="0" fontId="77" fillId="2" borderId="0" xfId="0" applyFont="1" applyFill="1" applyAlignment="1">
      <alignment vertical="top"/>
    </xf>
    <xf numFmtId="0" fontId="78" fillId="2" borderId="0" xfId="0" applyFont="1" applyFill="1" applyAlignment="1">
      <alignment vertical="top"/>
    </xf>
    <xf numFmtId="0" fontId="0" fillId="2" borderId="0" xfId="0" applyFill="1" applyAlignment="1">
      <alignment vertical="top"/>
    </xf>
  </cellXfs>
  <cellStyles count="168">
    <cellStyle name="%" xfId="136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5" xr:uid="{00000000-0005-0000-0000-000034000000}"/>
    <cellStyle name="Currency" xfId="167" builtinId="4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9" xr:uid="{00000000-0005-0000-0000-000038000000}"/>
    <cellStyle name="EY0dp" xfId="147" xr:uid="{00000000-0005-0000-0000-000039000000}"/>
    <cellStyle name="EY1dp" xfId="148" xr:uid="{00000000-0005-0000-0000-00003A000000}"/>
    <cellStyle name="EYChartTitle" xfId="142" xr:uid="{00000000-0005-0000-0000-00003B000000}"/>
    <cellStyle name="EYColumnHeading" xfId="145" xr:uid="{00000000-0005-0000-0000-00003C000000}"/>
    <cellStyle name="EYCurrency" xfId="144" xr:uid="{00000000-0005-0000-0000-00003D000000}"/>
    <cellStyle name="EYnumber" xfId="143" xr:uid="{00000000-0005-0000-0000-00003E000000}"/>
    <cellStyle name="EYSectionHeading" xfId="139" xr:uid="{00000000-0005-0000-0000-00003F000000}"/>
    <cellStyle name="EYSheetHeading" xfId="141" xr:uid="{00000000-0005-0000-0000-000040000000}"/>
    <cellStyle name="EYsmallheading" xfId="140" xr:uid="{00000000-0005-0000-0000-000041000000}"/>
    <cellStyle name="EYSource" xfId="150" xr:uid="{00000000-0005-0000-0000-000042000000}"/>
    <cellStyle name="EYtext" xfId="146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6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1" xr:uid="{00000000-0005-0000-0000-000056000000}"/>
    <cellStyle name="Normal 2 2" xfId="153" xr:uid="{00000000-0005-0000-0000-000057000000}"/>
    <cellStyle name="Normal 3" xfId="152" xr:uid="{00000000-0005-0000-0000-000058000000}"/>
    <cellStyle name="Normal 4" xfId="154" xr:uid="{00000000-0005-0000-0000-000059000000}"/>
    <cellStyle name="Normal 5" xfId="4" xr:uid="{00000000-0005-0000-0000-00005A000000}"/>
    <cellStyle name="Normal_Project Accel Valuation v56" xfId="134" xr:uid="{00000000-0005-0000-0000-00005B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6" xr:uid="{00000000-0005-0000-0000-000063000000}"/>
    <cellStyle name="Percent 3" xfId="78" xr:uid="{00000000-0005-0000-0000-000064000000}"/>
    <cellStyle name="Percent 5" xfId="80" xr:uid="{00000000-0005-0000-0000-000065000000}"/>
    <cellStyle name="Prozent 2" xfId="135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7" xr:uid="{00000000-0005-0000-0000-000096000000}"/>
    <cellStyle name="Standard 4" xfId="157" xr:uid="{00000000-0005-0000-0000-000097000000}"/>
    <cellStyle name="Stil 1" xfId="131" xr:uid="{00000000-0005-0000-0000-000098000000}"/>
    <cellStyle name="Style 1" xfId="126" xr:uid="{00000000-0005-0000-0000-000099000000}"/>
    <cellStyle name="Tahoma:10:1" xfId="161" xr:uid="{00000000-0005-0000-0000-00009A000000}"/>
    <cellStyle name="Tahoma:10:129" xfId="162" xr:uid="{00000000-0005-0000-0000-00009B000000}"/>
    <cellStyle name="Tahoma:12:1" xfId="158" xr:uid="{00000000-0005-0000-0000-00009C000000}"/>
    <cellStyle name="Tahoma:12:129" xfId="163" xr:uid="{00000000-0005-0000-0000-00009D000000}"/>
    <cellStyle name="Tahoma:8:0" xfId="159" xr:uid="{00000000-0005-0000-0000-00009E000000}"/>
    <cellStyle name="Tahoma:8:1" xfId="160" xr:uid="{00000000-0005-0000-0000-00009F000000}"/>
    <cellStyle name="Tahoma:8:128" xfId="164" xr:uid="{00000000-0005-0000-0000-0000A0000000}"/>
    <cellStyle name="Tahoma:8:129" xfId="165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8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716-4C90-BC7D-326EC9AB76F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716-4C90-BC7D-326EC9AB76F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C716-4C90-BC7D-326EC9AB76F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716-4C90-BC7D-326EC9AB76F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716-4C90-BC7D-326EC9AB76F8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26914</c:v>
                </c:pt>
                <c:pt idx="1">
                  <c:v>26974</c:v>
                </c:pt>
                <c:pt idx="2">
                  <c:v>60922</c:v>
                </c:pt>
                <c:pt idx="4">
                  <c:v>140120.59999999998</c:v>
                </c:pt>
                <c:pt idx="5">
                  <c:v>245211.04999999996</c:v>
                </c:pt>
                <c:pt idx="6">
                  <c:v>343295.46999999991</c:v>
                </c:pt>
                <c:pt idx="7">
                  <c:v>411954.5639999999</c:v>
                </c:pt>
                <c:pt idx="8">
                  <c:v>461389.11167999991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0.37307720888756779</c:v>
                </c:pt>
                <c:pt idx="1">
                  <c:v>0.20675465262845702</c:v>
                </c:pt>
                <c:pt idx="2">
                  <c:v>0.54121663766783756</c:v>
                </c:pt>
                <c:pt idx="4">
                  <c:v>0.66999999999999993</c:v>
                </c:pt>
                <c:pt idx="5">
                  <c:v>0.67500000000000004</c:v>
                </c:pt>
                <c:pt idx="6">
                  <c:v>0.68499999999999994</c:v>
                </c:pt>
                <c:pt idx="7">
                  <c:v>0.69499999999999995</c:v>
                </c:pt>
                <c:pt idx="8">
                  <c:v>0.70499999999999996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C716-4C90-BC7D-326EC9AB7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48880.087801833739</c:v>
                </c:pt>
                <c:pt idx="1">
                  <c:v>96429.346346193794</c:v>
                </c:pt>
                <c:pt idx="2">
                  <c:v>160565.92571453803</c:v>
                </c:pt>
                <c:pt idx="3">
                  <c:v>216489.14318084551</c:v>
                </c:pt>
                <c:pt idx="4">
                  <c:v>257795.69707276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B-4D9D-BB67-477981709A29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'Cash flows'!$C$3:$G$3</c:f>
              <c:strCache>
                <c:ptCount val="5"/>
                <c:pt idx="0">
                  <c:v>FY25
Forecast </c:v>
                </c:pt>
                <c:pt idx="1">
                  <c:v>FY26
Forecast </c:v>
                </c:pt>
                <c:pt idx="2">
                  <c:v>FY27
Forecast </c:v>
                </c:pt>
                <c:pt idx="3">
                  <c:v>FY28
Forecast </c:v>
                </c:pt>
                <c:pt idx="4">
                  <c:v>FY29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42777.101381091146</c:v>
                </c:pt>
                <c:pt idx="1">
                  <c:v>73852.971535082033</c:v>
                </c:pt>
                <c:pt idx="2">
                  <c:v>107619.63492687402</c:v>
                </c:pt>
                <c:pt idx="3">
                  <c:v>126985.35114598513</c:v>
                </c:pt>
                <c:pt idx="4">
                  <c:v>132334.33596071388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B-4D9D-BB67-477981709A2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4945920"/>
        <c:axId val="104972288"/>
      </c:bar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2600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millions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5472</c:v>
                </c:pt>
                <c:pt idx="1">
                  <c:v>7793</c:v>
                </c:pt>
                <c:pt idx="2">
                  <c:v>12582</c:v>
                </c:pt>
                <c:pt idx="4">
                  <c:v>27570.566678178209</c:v>
                </c:pt>
                <c:pt idx="5">
                  <c:v>48629.563909993369</c:v>
                </c:pt>
                <c:pt idx="6">
                  <c:v>67814.638917763659</c:v>
                </c:pt>
                <c:pt idx="7">
                  <c:v>81057.466033843913</c:v>
                </c:pt>
                <c:pt idx="8">
                  <c:v>90425.849210336019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62.198112506502191</c:v>
                </c:pt>
                <c:pt idx="1">
                  <c:v>51.075850819307476</c:v>
                </c:pt>
                <c:pt idx="2">
                  <c:v>59.086044450280689</c:v>
                </c:pt>
                <c:pt idx="4">
                  <c:v>59.086044450280689</c:v>
                </c:pt>
                <c:pt idx="5">
                  <c:v>59.086044450280689</c:v>
                </c:pt>
                <c:pt idx="6">
                  <c:v>59.086044450280689</c:v>
                </c:pt>
                <c:pt idx="7">
                  <c:v>59.086044450280689</c:v>
                </c:pt>
                <c:pt idx="8">
                  <c:v>59.086044450280689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85-4EF2-AB0A-7C3191DFF795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99.353745100116527</c:v>
                </c:pt>
                <c:pt idx="1">
                  <c:v>159.85883973145118</c:v>
                </c:pt>
                <c:pt idx="2">
                  <c:v>114.40466879249144</c:v>
                </c:pt>
                <c:pt idx="4">
                  <c:v>114.40466879249144</c:v>
                </c:pt>
                <c:pt idx="5">
                  <c:v>114.40466879249144</c:v>
                </c:pt>
                <c:pt idx="6">
                  <c:v>114.40466879249144</c:v>
                </c:pt>
                <c:pt idx="7">
                  <c:v>114.40466879249144</c:v>
                </c:pt>
                <c:pt idx="8">
                  <c:v>114.40466879249144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85-4EF2-AB0A-7C3191DFF795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FY22
Actual </c:v>
                </c:pt>
                <c:pt idx="1">
                  <c:v>FY23
Actual </c:v>
                </c:pt>
                <c:pt idx="2">
                  <c:v>FY24
Actual </c:v>
                </c:pt>
                <c:pt idx="4">
                  <c:v>FY25
Forecast </c:v>
                </c:pt>
                <c:pt idx="5">
                  <c:v>FY26
Forecast </c:v>
                </c:pt>
                <c:pt idx="6">
                  <c:v>FY27
Forecast </c:v>
                </c:pt>
                <c:pt idx="7">
                  <c:v>FY28
Forecast </c:v>
                </c:pt>
                <c:pt idx="8">
                  <c:v>FY29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68.002966415933884</c:v>
                </c:pt>
                <c:pt idx="1">
                  <c:v>36.966775692890337</c:v>
                </c:pt>
                <c:pt idx="2">
                  <c:v>58.458576499608924</c:v>
                </c:pt>
                <c:pt idx="4">
                  <c:v>58.458576499608924</c:v>
                </c:pt>
                <c:pt idx="5">
                  <c:v>58.458576499608924</c:v>
                </c:pt>
                <c:pt idx="6">
                  <c:v>58.458576499608924</c:v>
                </c:pt>
                <c:pt idx="7">
                  <c:v>58.458576499608924</c:v>
                </c:pt>
                <c:pt idx="8">
                  <c:v>58.458576499608924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85-4EF2-AB0A-7C3191DF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1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69-47D2-9A09-5EF4A48BFDEE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669-47D2-9A09-5EF4A48BFD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results'!$C$6:$C$7</c:f>
              <c:numCache>
                <c:formatCode>0.0%</c:formatCode>
                <c:ptCount val="2"/>
                <c:pt idx="0">
                  <c:v>0.28557112543799384</c:v>
                </c:pt>
                <c:pt idx="1">
                  <c:v>0.71442887456200621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9-47D2-9A09-5EF4A48BF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2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DE-493B-B1E5-69204CC47CF2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DE-493B-B1E5-69204CC47CF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results'!$H$6:$H$7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results'!$I$6:$I$7</c:f>
              <c:numCache>
                <c:formatCode>0.0%</c:formatCode>
                <c:ptCount val="2"/>
                <c:pt idx="0">
                  <c:v>0.31138516269602673</c:v>
                </c:pt>
                <c:pt idx="1">
                  <c:v>0.6886148373039731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DE-493B-B1E5-69204CC47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solidFill>
                  <a:sysClr val="windowText" lastClr="000000"/>
                </a:solidFill>
                <a:effectLst/>
              </a:rPr>
              <a:t>Enterprise Value: Scenario 3</a:t>
            </a:r>
            <a:endParaRPr lang="en-US" sz="1200">
              <a:solidFill>
                <a:sysClr val="windowText" lastClr="000000"/>
              </a:solidFill>
              <a:effectLst/>
            </a:endParaRPr>
          </a:p>
        </c:rich>
      </c:tx>
      <c:layout>
        <c:manualLayout>
          <c:xMode val="edge"/>
          <c:yMode val="edge"/>
          <c:x val="3.8208585995716048E-2"/>
          <c:y val="2.58899623596641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958-4AB1-A9BF-500E7FBD6D28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958-4AB1-A9BF-500E7FBD6D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results'!$N$6:$N$7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results'!$O$6:$O$7</c:f>
              <c:numCache>
                <c:formatCode>0.0%</c:formatCode>
                <c:ptCount val="2"/>
                <c:pt idx="0">
                  <c:v>0.3392098790387631</c:v>
                </c:pt>
                <c:pt idx="1">
                  <c:v>0.6607901209612369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58-4AB1-A9BF-500E7FBD6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19049</xdr:colOff>
      <xdr:row>2</xdr:row>
      <xdr:rowOff>142875</xdr:rowOff>
    </xdr:from>
    <xdr:to>
      <xdr:col>23</xdr:col>
      <xdr:colOff>209324</xdr:colOff>
      <xdr:row>26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FCF55C-611F-47EE-8AD0-385AE88CB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199" y="466725"/>
          <a:ext cx="8724675" cy="491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276226</xdr:colOff>
      <xdr:row>28</xdr:row>
      <xdr:rowOff>123825</xdr:rowOff>
    </xdr:from>
    <xdr:to>
      <xdr:col>8</xdr:col>
      <xdr:colOff>542926</xdr:colOff>
      <xdr:row>34</xdr:row>
      <xdr:rowOff>112059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2651AA1-FB94-469D-A7B5-D5AEE82BD8CA}"/>
            </a:ext>
          </a:extLst>
        </xdr:cNvPr>
        <xdr:cNvSpPr txBox="1"/>
      </xdr:nvSpPr>
      <xdr:spPr>
        <a:xfrm>
          <a:off x="276226" y="6712884"/>
          <a:ext cx="6104965" cy="1131234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Calculated WACC is higher compared some other examples. The main differences are lower Market risk premium and higher Beta.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Note - For large companies like Nvidia, expect a lower WACC. Generally high WACC comes from high risk-free rate and beta.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280147</xdr:colOff>
      <xdr:row>35</xdr:row>
      <xdr:rowOff>11206</xdr:rowOff>
    </xdr:from>
    <xdr:to>
      <xdr:col>8</xdr:col>
      <xdr:colOff>526677</xdr:colOff>
      <xdr:row>47</xdr:row>
      <xdr:rowOff>53788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E3D7E5A-6FCF-4ED4-A4E3-27BE27AAF5D7}"/>
            </a:ext>
          </a:extLst>
        </xdr:cNvPr>
        <xdr:cNvSpPr txBox="1"/>
      </xdr:nvSpPr>
      <xdr:spPr>
        <a:xfrm>
          <a:off x="280147" y="7933765"/>
          <a:ext cx="6084795" cy="2328582"/>
        </a:xfrm>
        <a:prstGeom prst="rect">
          <a:avLst/>
        </a:prstGeom>
        <a:solidFill>
          <a:sysClr val="window" lastClr="FFFFFF"/>
        </a:solidFill>
        <a:ln w="9525" cmpd="sng">
          <a:solidFill>
            <a:sysClr val="window" lastClr="FFFFFF">
              <a:shade val="50000"/>
            </a:sysClr>
          </a:solidFill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Calculating cost of debt (methodologies):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1. Yield to Maturity of Existing Debt</a:t>
          </a:r>
          <a:endParaRPr kumimoji="0" lang="en-FI" sz="18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2. Current Market Interest Rates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3. Credit Spread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4. Book Value of Debt (using values from income statement)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5. Rating Agency Method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6. Matrix Pricing (Risk free rate + Company risk premium + Country risk premium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Risk Free Rate (10 year Treasury Note)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Beta from Yahoo Finance.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Market Risk Premium from Yahoo Finance.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LID4096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21</xdr:row>
      <xdr:rowOff>114300</xdr:rowOff>
    </xdr:from>
    <xdr:to>
      <xdr:col>10</xdr:col>
      <xdr:colOff>571500</xdr:colOff>
      <xdr:row>23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4514850" y="3429000"/>
          <a:ext cx="2381250" cy="23812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133350</xdr:colOff>
      <xdr:row>25</xdr:row>
      <xdr:rowOff>9524</xdr:rowOff>
    </xdr:from>
    <xdr:to>
      <xdr:col>6</xdr:col>
      <xdr:colOff>419100</xdr:colOff>
      <xdr:row>28</xdr:row>
      <xdr:rowOff>152399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3962400" y="3943349"/>
          <a:ext cx="285750" cy="600075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0.49319</cdr:x>
      <cdr:y>0.01157</cdr:y>
    </cdr:from>
    <cdr:to>
      <cdr:x>0.92949</cdr:x>
      <cdr:y>0.08102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32" y="31748"/>
          <a:ext cx="3457590" cy="19051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13</xdr:col>
      <xdr:colOff>247650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8</xdr:row>
      <xdr:rowOff>90488</xdr:rowOff>
    </xdr:from>
    <xdr:to>
      <xdr:col>6</xdr:col>
      <xdr:colOff>19050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CBE544-49CD-4D3A-9720-22504873E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8</xdr:row>
      <xdr:rowOff>95250</xdr:rowOff>
    </xdr:from>
    <xdr:to>
      <xdr:col>11</xdr:col>
      <xdr:colOff>504826</xdr:colOff>
      <xdr:row>25</xdr:row>
      <xdr:rowOff>80962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C4F6F80-3E84-456A-B49E-0B128CD030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600075</xdr:colOff>
      <xdr:row>8</xdr:row>
      <xdr:rowOff>76200</xdr:rowOff>
    </xdr:from>
    <xdr:to>
      <xdr:col>17</xdr:col>
      <xdr:colOff>542926</xdr:colOff>
      <xdr:row>25</xdr:row>
      <xdr:rowOff>61912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78114BD-B545-4DBB-A021-0177743F7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$1.693T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$1.067T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0.19007</cdr:x>
      <cdr:y>0.48068</cdr:y>
    </cdr:from>
    <cdr:to>
      <cdr:x>0.47851</cdr:x>
      <cdr:y>0.62279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45DCF24B-0B14-499D-8B5F-3D8A7BD87EF7}"/>
            </a:ext>
          </a:extLst>
        </cdr:cNvPr>
        <cdr:cNvSpPr txBox="1"/>
      </cdr:nvSpPr>
      <cdr:spPr>
        <a:xfrm xmlns:a="http://schemas.openxmlformats.org/drawingml/2006/main">
          <a:off x="631824" y="1165225"/>
          <a:ext cx="958851" cy="34448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000" b="1">
              <a:latin typeface="Arial" pitchFamily="34" charset="0"/>
              <a:cs typeface="Arial" pitchFamily="34" charset="0"/>
            </a:rPr>
            <a:t>$659B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w/Desktop/Courses/Video%20creating/Excel/4)%20DCF%20Valuation/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Output--&gt;"/>
      <sheetName val="P&amp;L"/>
      <sheetName val="BS"/>
      <sheetName val="Cash Flow"/>
      <sheetName val="WACC"/>
      <sheetName val="DCF valuation"/>
      <sheetName val="3.Charts  --&gt;"/>
      <sheetName val="Revenues&amp;Ebitda"/>
      <sheetName val="Cash flows"/>
      <sheetName val="Working capital"/>
      <sheetName val="DCF results"/>
      <sheetName val="4.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K4"/>
          <cell r="L4"/>
          <cell r="M4"/>
          <cell r="N4"/>
          <cell r="O4"/>
        </row>
      </sheetData>
      <sheetData sheetId="10"/>
      <sheetData sheetId="11"/>
      <sheetData sheetId="12"/>
      <sheetData sheetId="13">
        <row r="3">
          <cell r="C3" t="str">
            <v>FY22
Actual</v>
          </cell>
          <cell r="D3" t="str">
            <v>FY23
Actual</v>
          </cell>
          <cell r="E3" t="str">
            <v>FY24
Actual</v>
          </cell>
          <cell r="F3"/>
          <cell r="G3" t="str">
            <v>FY25
Forecast</v>
          </cell>
          <cell r="H3" t="str">
            <v>FY26
Forecast</v>
          </cell>
          <cell r="I3" t="str">
            <v>FY27
Forecast</v>
          </cell>
          <cell r="J3" t="str">
            <v>FY28
Forecast</v>
          </cell>
          <cell r="K3" t="str">
            <v>FY29
Forecast</v>
          </cell>
        </row>
      </sheetData>
      <sheetData sheetId="14">
        <row r="6">
          <cell r="B6" t="str">
            <v>CFs in Forecast period</v>
          </cell>
          <cell r="C6">
            <v>0.28557112543799384</v>
          </cell>
          <cell r="H6" t="str">
            <v>CFs in Forecast period</v>
          </cell>
          <cell r="N6" t="str">
            <v>CFs in Forecast period</v>
          </cell>
        </row>
        <row r="7">
          <cell r="B7" t="str">
            <v>Continuing Value</v>
          </cell>
          <cell r="C7">
            <v>0.71442887456200621</v>
          </cell>
          <cell r="H7" t="str">
            <v>Continuing Value</v>
          </cell>
          <cell r="N7" t="str">
            <v>Continuing Value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E9E2-D6BF-4882-9D18-4C5383B1D93E}">
  <sheetPr>
    <tabColor rgb="FF002060"/>
  </sheetPr>
  <dimension ref="B9:C10"/>
  <sheetViews>
    <sheetView tabSelected="1" workbookViewId="0">
      <selection activeCell="B11" sqref="B11"/>
    </sheetView>
  </sheetViews>
  <sheetFormatPr defaultColWidth="9.140625" defaultRowHeight="15"/>
  <cols>
    <col min="1" max="1" width="2" style="200" customWidth="1"/>
    <col min="2" max="16384" width="9.140625" style="200"/>
  </cols>
  <sheetData>
    <row r="9" spans="2:3" ht="50.25">
      <c r="B9" s="198" t="s">
        <v>276</v>
      </c>
      <c r="C9" s="199"/>
    </row>
    <row r="10" spans="2:3" ht="50.25">
      <c r="B10" s="198" t="s">
        <v>277</v>
      </c>
      <c r="C10" s="19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52</v>
      </c>
    </row>
    <row r="6" spans="2:3">
      <c r="B6" s="29">
        <f>B5+1</f>
        <v>2</v>
      </c>
      <c r="C6" s="65" t="s">
        <v>21</v>
      </c>
    </row>
    <row r="7" spans="2:3">
      <c r="B7" s="29">
        <f t="shared" ref="B7:B21" si="0">B6+1</f>
        <v>3</v>
      </c>
      <c r="C7" s="65" t="s">
        <v>22</v>
      </c>
    </row>
    <row r="8" spans="2:3">
      <c r="B8" s="56">
        <f t="shared" si="0"/>
        <v>4</v>
      </c>
      <c r="C8" s="57" t="s">
        <v>53</v>
      </c>
    </row>
    <row r="9" spans="2:3">
      <c r="B9" s="29">
        <f t="shared" si="0"/>
        <v>5</v>
      </c>
      <c r="C9" s="65" t="s">
        <v>6</v>
      </c>
    </row>
    <row r="10" spans="2:3">
      <c r="B10" s="29">
        <f t="shared" si="0"/>
        <v>6</v>
      </c>
      <c r="C10" s="65" t="s">
        <v>20</v>
      </c>
    </row>
    <row r="11" spans="2:3">
      <c r="B11" s="29">
        <f t="shared" si="0"/>
        <v>7</v>
      </c>
      <c r="C11" s="65" t="s">
        <v>23</v>
      </c>
    </row>
    <row r="12" spans="2:3">
      <c r="B12" s="29">
        <f t="shared" si="0"/>
        <v>8</v>
      </c>
      <c r="C12" s="65" t="s">
        <v>47</v>
      </c>
    </row>
    <row r="13" spans="2:3">
      <c r="B13" s="56">
        <f t="shared" si="0"/>
        <v>9</v>
      </c>
      <c r="C13" s="57" t="s">
        <v>59</v>
      </c>
    </row>
    <row r="14" spans="2:3">
      <c r="B14" s="29">
        <f t="shared" si="0"/>
        <v>10</v>
      </c>
      <c r="C14" s="65" t="s">
        <v>54</v>
      </c>
    </row>
    <row r="15" spans="2:3">
      <c r="B15" s="29">
        <f t="shared" si="0"/>
        <v>11</v>
      </c>
      <c r="C15" s="65" t="s">
        <v>51</v>
      </c>
    </row>
    <row r="16" spans="2:3">
      <c r="B16" s="29">
        <f t="shared" si="0"/>
        <v>12</v>
      </c>
      <c r="C16" s="65" t="s">
        <v>55</v>
      </c>
    </row>
    <row r="17" spans="2:3">
      <c r="B17" s="29">
        <f t="shared" si="0"/>
        <v>13</v>
      </c>
      <c r="C17" s="65" t="s">
        <v>56</v>
      </c>
    </row>
    <row r="18" spans="2:3">
      <c r="B18" s="29">
        <f t="shared" si="0"/>
        <v>14</v>
      </c>
      <c r="C18" s="65" t="s">
        <v>57</v>
      </c>
    </row>
    <row r="19" spans="2:3">
      <c r="B19" s="56">
        <f t="shared" si="0"/>
        <v>15</v>
      </c>
      <c r="C19" s="57" t="s">
        <v>58</v>
      </c>
    </row>
    <row r="20" spans="2:3">
      <c r="B20" s="29">
        <f t="shared" si="0"/>
        <v>16</v>
      </c>
      <c r="C20" s="65" t="s">
        <v>1</v>
      </c>
    </row>
    <row r="21" spans="2:3">
      <c r="B21" s="29">
        <f t="shared" si="0"/>
        <v>17</v>
      </c>
      <c r="C21" s="65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61"/>
  <sheetViews>
    <sheetView zoomScale="130" zoomScaleNormal="130" workbookViewId="0">
      <pane ySplit="8" topLeftCell="A9" activePane="bottomLeft" state="frozen"/>
      <selection pane="bottomLeft" activeCell="C6" sqref="C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21</v>
      </c>
    </row>
    <row r="2" spans="2:14">
      <c r="F2" s="7"/>
      <c r="G2" s="7" t="s">
        <v>63</v>
      </c>
    </row>
    <row r="3" spans="2:14">
      <c r="F3" s="7"/>
      <c r="G3" s="7" t="s">
        <v>64</v>
      </c>
    </row>
    <row r="4" spans="2:14">
      <c r="F4" s="7"/>
      <c r="G4" s="7" t="s">
        <v>65</v>
      </c>
    </row>
    <row r="5" spans="2:14">
      <c r="B5" s="7" t="s">
        <v>62</v>
      </c>
      <c r="C5" s="68">
        <v>1</v>
      </c>
      <c r="F5" s="7"/>
      <c r="G5" s="7" t="s">
        <v>66</v>
      </c>
    </row>
    <row r="6" spans="2:14">
      <c r="F6" s="7"/>
    </row>
    <row r="7" spans="2:14" ht="3.75" customHeight="1"/>
    <row r="8" spans="2:14" ht="24.75" thickBot="1">
      <c r="B8" s="8" t="s">
        <v>162</v>
      </c>
      <c r="C8" s="18" t="s">
        <v>150</v>
      </c>
      <c r="D8" s="18" t="s">
        <v>151</v>
      </c>
      <c r="E8" s="18" t="s">
        <v>152</v>
      </c>
      <c r="F8" s="22"/>
      <c r="G8" s="19" t="s">
        <v>153</v>
      </c>
      <c r="H8" s="19" t="s">
        <v>154</v>
      </c>
      <c r="I8" s="19" t="s">
        <v>155</v>
      </c>
      <c r="J8" s="19" t="s">
        <v>156</v>
      </c>
      <c r="K8" s="19" t="s">
        <v>157</v>
      </c>
    </row>
    <row r="9" spans="2:14">
      <c r="B9" s="7" t="s">
        <v>67</v>
      </c>
      <c r="C9" s="13">
        <f>'P&amp;L source'!D4</f>
        <v>26914</v>
      </c>
      <c r="D9" s="13">
        <f>'P&amp;L source'!E4</f>
        <v>26974</v>
      </c>
      <c r="E9" s="13">
        <f>'P&amp;L source'!F4</f>
        <v>60922</v>
      </c>
      <c r="G9" s="28">
        <f>+E9*(1+G10)</f>
        <v>140120.59999999998</v>
      </c>
      <c r="H9" s="28">
        <f>+G9*(1+H10)</f>
        <v>245211.04999999996</v>
      </c>
      <c r="I9" s="28">
        <f t="shared" ref="I9:K9" si="0">+H9*(1+I10)</f>
        <v>343295.46999999991</v>
      </c>
      <c r="J9" s="28">
        <f t="shared" si="0"/>
        <v>411954.5639999999</v>
      </c>
      <c r="K9" s="28">
        <f t="shared" si="0"/>
        <v>461389.11167999991</v>
      </c>
      <c r="N9" s="22"/>
    </row>
    <row r="10" spans="2:14">
      <c r="B10" s="7" t="s">
        <v>68</v>
      </c>
      <c r="C10" s="50">
        <v>0</v>
      </c>
      <c r="D10" s="26">
        <f>D9/C9-1</f>
        <v>2.2293230289069932E-3</v>
      </c>
      <c r="E10" s="26">
        <f>E9/D9-1</f>
        <v>1.2585452658115224</v>
      </c>
      <c r="G10" s="27">
        <f>+CHOOSE($C$5,G11,G12,G13)</f>
        <v>1.3</v>
      </c>
      <c r="H10" s="27">
        <f t="shared" ref="H10:K10" si="1">+CHOOSE($C$5,H11,H12,H13)</f>
        <v>0.75</v>
      </c>
      <c r="I10" s="27">
        <f t="shared" si="1"/>
        <v>0.4</v>
      </c>
      <c r="J10" s="27">
        <f t="shared" si="1"/>
        <v>0.2</v>
      </c>
      <c r="K10" s="27">
        <f t="shared" si="1"/>
        <v>0.12</v>
      </c>
    </row>
    <row r="11" spans="2:14">
      <c r="B11" s="7" t="s">
        <v>69</v>
      </c>
      <c r="C11" s="69"/>
      <c r="D11" s="69"/>
      <c r="E11" s="69"/>
      <c r="G11" s="27">
        <v>1.3</v>
      </c>
      <c r="H11" s="27">
        <v>0.75</v>
      </c>
      <c r="I11" s="27">
        <v>0.4</v>
      </c>
      <c r="J11" s="27">
        <v>0.2</v>
      </c>
      <c r="K11" s="27">
        <v>0.12</v>
      </c>
    </row>
    <row r="12" spans="2:14">
      <c r="B12" s="7" t="s">
        <v>70</v>
      </c>
      <c r="C12" s="69"/>
      <c r="D12" s="69"/>
      <c r="E12" s="69"/>
      <c r="G12" s="27">
        <v>1.1399999999999999</v>
      </c>
      <c r="H12" s="27">
        <v>0.56000000000000005</v>
      </c>
      <c r="I12" s="27">
        <v>0.28000000000000003</v>
      </c>
      <c r="J12" s="27">
        <v>0.13</v>
      </c>
      <c r="K12" s="27">
        <v>0.08</v>
      </c>
    </row>
    <row r="13" spans="2:14">
      <c r="B13" s="7" t="s">
        <v>71</v>
      </c>
      <c r="C13" s="69"/>
      <c r="D13" s="69"/>
      <c r="E13" s="69"/>
      <c r="G13" s="27">
        <v>0.9</v>
      </c>
      <c r="H13" s="27">
        <v>0.35</v>
      </c>
      <c r="I13" s="27">
        <v>0.15</v>
      </c>
      <c r="J13" s="27">
        <v>0.1</v>
      </c>
      <c r="K13" s="27">
        <v>0.06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72</v>
      </c>
      <c r="C15" s="13">
        <f>'P&amp;L source'!D5</f>
        <v>0</v>
      </c>
      <c r="D15" s="13">
        <f>'P&amp;L source'!E5</f>
        <v>0</v>
      </c>
      <c r="E15" s="13">
        <f>'P&amp;L source'!F5</f>
        <v>0</v>
      </c>
      <c r="G15" s="28">
        <f>+E15*(1+G16)</f>
        <v>0</v>
      </c>
      <c r="H15" s="28">
        <f>+G15*(1+H16)</f>
        <v>0</v>
      </c>
      <c r="I15" s="28">
        <f t="shared" ref="I15" si="2">+H15*(1+I16)</f>
        <v>0</v>
      </c>
      <c r="J15" s="28">
        <f t="shared" ref="J15" si="3">+I15*(1+J16)</f>
        <v>0</v>
      </c>
      <c r="K15" s="28">
        <f t="shared" ref="K15" si="4">+J15*(1+K16)</f>
        <v>0</v>
      </c>
    </row>
    <row r="16" spans="2:14">
      <c r="B16" s="7" t="s">
        <v>68</v>
      </c>
      <c r="C16" s="25">
        <v>0</v>
      </c>
      <c r="D16" s="25" t="e">
        <f>D15/C15-1</f>
        <v>#DIV/0!</v>
      </c>
      <c r="E16" s="25" t="e">
        <f>E15/D15-1</f>
        <v>#DIV/0!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69</v>
      </c>
      <c r="C17" s="69"/>
      <c r="D17" s="69"/>
      <c r="E17" s="69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70</v>
      </c>
      <c r="C18" s="69"/>
      <c r="D18" s="69"/>
      <c r="E18" s="69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71</v>
      </c>
      <c r="C19" s="69"/>
      <c r="D19" s="69"/>
      <c r="E19" s="69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73</v>
      </c>
      <c r="C21" s="13">
        <f>'P&amp;L source'!D8+'P&amp;L source'!D9</f>
        <v>-9439</v>
      </c>
      <c r="D21" s="13">
        <f>'P&amp;L source'!E8+'P&amp;L source'!E9</f>
        <v>-11618</v>
      </c>
      <c r="E21" s="13">
        <f>'P&amp;L source'!F8+'P&amp;L source'!F9</f>
        <v>-16621</v>
      </c>
      <c r="G21" s="52">
        <f>G$9*G22</f>
        <v>-29425.325999999994</v>
      </c>
      <c r="H21" s="52">
        <f t="shared" ref="H21:K21" si="6">H$9*H22</f>
        <v>-53946.43099999999</v>
      </c>
      <c r="I21" s="52">
        <f t="shared" si="6"/>
        <v>-73808.526049999986</v>
      </c>
      <c r="J21" s="52">
        <f t="shared" si="6"/>
        <v>-86510.458439999973</v>
      </c>
      <c r="K21" s="52">
        <f t="shared" si="6"/>
        <v>-94584.767894399978</v>
      </c>
    </row>
    <row r="22" spans="2:11">
      <c r="B22" s="7" t="s">
        <v>74</v>
      </c>
      <c r="C22" s="25">
        <f>C21/C$9</f>
        <v>-0.35070966783086871</v>
      </c>
      <c r="D22" s="25">
        <f>D21/D$9</f>
        <v>-0.43071105509008673</v>
      </c>
      <c r="E22" s="25">
        <f>E21/E$9</f>
        <v>-0.27282426709563046</v>
      </c>
      <c r="G22" s="27">
        <f>+CHOOSE($C$5,G23,G24,G25)</f>
        <v>-0.21</v>
      </c>
      <c r="H22" s="27">
        <f t="shared" ref="H22:K22" si="7">+CHOOSE($C$5,H23,H24,H25)</f>
        <v>-0.22</v>
      </c>
      <c r="I22" s="27">
        <f t="shared" si="7"/>
        <v>-0.215</v>
      </c>
      <c r="J22" s="27">
        <f t="shared" si="7"/>
        <v>-0.21</v>
      </c>
      <c r="K22" s="27">
        <f t="shared" si="7"/>
        <v>-0.20499999999999999</v>
      </c>
    </row>
    <row r="23" spans="2:11">
      <c r="B23" s="7" t="s">
        <v>69</v>
      </c>
      <c r="C23" s="69"/>
      <c r="D23" s="69"/>
      <c r="E23" s="69"/>
      <c r="G23" s="27">
        <v>-0.21</v>
      </c>
      <c r="H23" s="27">
        <v>-0.22</v>
      </c>
      <c r="I23" s="27">
        <v>-0.215</v>
      </c>
      <c r="J23" s="27">
        <v>-0.21</v>
      </c>
      <c r="K23" s="27">
        <v>-0.20499999999999999</v>
      </c>
    </row>
    <row r="24" spans="2:11">
      <c r="B24" s="7" t="s">
        <v>70</v>
      </c>
      <c r="C24" s="69"/>
      <c r="D24" s="69"/>
      <c r="E24" s="69"/>
      <c r="G24" s="27">
        <v>-0.23</v>
      </c>
      <c r="H24" s="27">
        <v>-0.23</v>
      </c>
      <c r="I24" s="27">
        <v>-0.24</v>
      </c>
      <c r="J24" s="27">
        <v>-0.245</v>
      </c>
      <c r="K24" s="27">
        <v>-0.25</v>
      </c>
    </row>
    <row r="25" spans="2:11" ht="12" customHeight="1">
      <c r="B25" s="7" t="s">
        <v>71</v>
      </c>
      <c r="C25" s="69"/>
      <c r="D25" s="69"/>
      <c r="E25" s="69"/>
      <c r="G25" s="27">
        <v>-0.24</v>
      </c>
      <c r="H25" s="27">
        <v>-0.25</v>
      </c>
      <c r="I25" s="27">
        <v>-0.26</v>
      </c>
      <c r="J25" s="27">
        <v>-0.27</v>
      </c>
      <c r="K25" s="27">
        <v>-0.28000000000000003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75</v>
      </c>
      <c r="C27" s="13">
        <f>'P&amp;L source'!D10+'P&amp;L source'!D11+'P&amp;L source'!D12</f>
        <v>-7434</v>
      </c>
      <c r="D27" s="13">
        <f>'P&amp;L source'!E10+'P&amp;L source'!E11+'P&amp;L source'!E12</f>
        <v>-9779</v>
      </c>
      <c r="E27" s="13">
        <f>'P&amp;L source'!F10+'P&amp;L source'!F11+'P&amp;L source'!F12</f>
        <v>-11329</v>
      </c>
      <c r="G27" s="52">
        <f>G$9*G28</f>
        <v>-16814.471999999998</v>
      </c>
      <c r="H27" s="52">
        <f t="shared" ref="H27:K27" si="8">H$9*H28</f>
        <v>-25747.160249999994</v>
      </c>
      <c r="I27" s="52">
        <f t="shared" si="8"/>
        <v>-34329.546999999991</v>
      </c>
      <c r="J27" s="52">
        <f t="shared" si="8"/>
        <v>-39135.68357999999</v>
      </c>
      <c r="K27" s="52">
        <f t="shared" si="8"/>
        <v>-41525.020051199994</v>
      </c>
    </row>
    <row r="28" spans="2:11" ht="12" customHeight="1">
      <c r="B28" s="7" t="s">
        <v>74</v>
      </c>
      <c r="C28" s="25">
        <f>C27/C$9</f>
        <v>-0.2762131232815635</v>
      </c>
      <c r="D28" s="25">
        <f>D27/D$9</f>
        <v>-0.36253429228145623</v>
      </c>
      <c r="E28" s="25">
        <f>E27/E$9</f>
        <v>-0.18595909523653195</v>
      </c>
      <c r="G28" s="27">
        <f>+CHOOSE($C$5,G29,G30,G31)</f>
        <v>-0.12</v>
      </c>
      <c r="H28" s="27">
        <f t="shared" ref="H28:K28" si="9">+CHOOSE($C$5,H29,H30,H31)</f>
        <v>-0.105</v>
      </c>
      <c r="I28" s="27">
        <f t="shared" si="9"/>
        <v>-0.1</v>
      </c>
      <c r="J28" s="27">
        <f t="shared" si="9"/>
        <v>-9.5000000000000001E-2</v>
      </c>
      <c r="K28" s="27">
        <f t="shared" si="9"/>
        <v>-0.09</v>
      </c>
    </row>
    <row r="29" spans="2:11" ht="12" customHeight="1">
      <c r="B29" s="7" t="s">
        <v>69</v>
      </c>
      <c r="C29" s="69"/>
      <c r="D29" s="69"/>
      <c r="E29" s="69"/>
      <c r="G29" s="70">
        <v>-0.12</v>
      </c>
      <c r="H29" s="70">
        <v>-0.105</v>
      </c>
      <c r="I29" s="70">
        <v>-0.1</v>
      </c>
      <c r="J29" s="70">
        <v>-9.5000000000000001E-2</v>
      </c>
      <c r="K29" s="70">
        <v>-0.09</v>
      </c>
    </row>
    <row r="30" spans="2:11" ht="12" customHeight="1">
      <c r="B30" s="7" t="s">
        <v>70</v>
      </c>
      <c r="C30" s="69"/>
      <c r="D30" s="69"/>
      <c r="E30" s="69"/>
      <c r="G30" s="70">
        <v>-0.13</v>
      </c>
      <c r="H30" s="70">
        <v>-0.115</v>
      </c>
      <c r="I30" s="70">
        <v>-0.11</v>
      </c>
      <c r="J30" s="70">
        <v>-0.105</v>
      </c>
      <c r="K30" s="70">
        <v>-0.1</v>
      </c>
    </row>
    <row r="31" spans="2:11" ht="12" customHeight="1">
      <c r="B31" s="7" t="s">
        <v>71</v>
      </c>
      <c r="C31" s="69"/>
      <c r="D31" s="69"/>
      <c r="E31" s="69"/>
      <c r="G31" s="70">
        <v>-0.14000000000000001</v>
      </c>
      <c r="H31" s="70">
        <v>-0.13</v>
      </c>
      <c r="I31" s="70">
        <v>-0.13</v>
      </c>
      <c r="J31" s="70">
        <v>-0.125</v>
      </c>
      <c r="K31" s="70">
        <v>-0.12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13</v>
      </c>
      <c r="C33" s="13">
        <f>'P&amp;L source'!D16</f>
        <v>-1174</v>
      </c>
      <c r="D33" s="13">
        <f>'P&amp;L source'!E16</f>
        <v>-1554</v>
      </c>
      <c r="E33" s="13">
        <f>'P&amp;L source'!F16</f>
        <v>-1508</v>
      </c>
      <c r="G33" s="52">
        <f>G$9*G34</f>
        <v>-2802.4119999999998</v>
      </c>
      <c r="H33" s="52">
        <f t="shared" ref="H33:K33" si="10">H$9*H34</f>
        <v>-4659.0099499999988</v>
      </c>
      <c r="I33" s="52">
        <f t="shared" si="10"/>
        <v>-6179.3184599999977</v>
      </c>
      <c r="J33" s="52">
        <f t="shared" si="10"/>
        <v>-6591.2730239999983</v>
      </c>
      <c r="K33" s="52">
        <f t="shared" si="10"/>
        <v>-6920.8366751999984</v>
      </c>
    </row>
    <row r="34" spans="2:11">
      <c r="B34" s="7" t="s">
        <v>74</v>
      </c>
      <c r="C34" s="25">
        <f>C33/C$9</f>
        <v>-4.362042059894479E-2</v>
      </c>
      <c r="D34" s="25">
        <f>D33/D$9</f>
        <v>-5.7611032846444726E-2</v>
      </c>
      <c r="E34" s="191">
        <f>E33/E$9</f>
        <v>-2.4752962804898065E-2</v>
      </c>
      <c r="G34" s="27">
        <f>+CHOOSE($C$5,G35,G36,G37)</f>
        <v>-0.02</v>
      </c>
      <c r="H34" s="27">
        <f t="shared" ref="H34:K34" si="11">+CHOOSE($C$5,H35,H36,H37)</f>
        <v>-1.9E-2</v>
      </c>
      <c r="I34" s="27">
        <f t="shared" si="11"/>
        <v>-1.7999999999999999E-2</v>
      </c>
      <c r="J34" s="27">
        <f t="shared" si="11"/>
        <v>-1.6E-2</v>
      </c>
      <c r="K34" s="27">
        <f t="shared" si="11"/>
        <v>-1.4999999999999999E-2</v>
      </c>
    </row>
    <row r="35" spans="2:11">
      <c r="B35" s="7" t="s">
        <v>69</v>
      </c>
      <c r="C35" s="69"/>
      <c r="D35" s="69"/>
      <c r="E35" s="69"/>
      <c r="G35" s="27">
        <v>-0.02</v>
      </c>
      <c r="H35" s="27">
        <v>-1.9E-2</v>
      </c>
      <c r="I35" s="27">
        <v>-1.7999999999999999E-2</v>
      </c>
      <c r="J35" s="27">
        <v>-1.6E-2</v>
      </c>
      <c r="K35" s="27">
        <v>-1.4999999999999999E-2</v>
      </c>
    </row>
    <row r="36" spans="2:11">
      <c r="B36" s="7" t="s">
        <v>70</v>
      </c>
      <c r="C36" s="69"/>
      <c r="D36" s="69"/>
      <c r="E36" s="69"/>
      <c r="G36" s="27">
        <v>-2.5000000000000001E-2</v>
      </c>
      <c r="H36" s="27">
        <v>-2.3E-2</v>
      </c>
      <c r="I36" s="27">
        <v>-2.1000000000000001E-2</v>
      </c>
      <c r="J36" s="27">
        <v>-0.02</v>
      </c>
      <c r="K36" s="27">
        <v>-1.9E-2</v>
      </c>
    </row>
    <row r="37" spans="2:11" ht="12" customHeight="1">
      <c r="B37" s="7" t="s">
        <v>71</v>
      </c>
      <c r="C37" s="69"/>
      <c r="D37" s="69"/>
      <c r="E37" s="69"/>
      <c r="G37" s="27">
        <v>-0.03</v>
      </c>
      <c r="H37" s="27">
        <v>-2.7E-2</v>
      </c>
      <c r="I37" s="27">
        <v>-2.5999999999999999E-2</v>
      </c>
      <c r="J37" s="27">
        <v>-2.5000000000000001E-2</v>
      </c>
      <c r="K37" s="27">
        <v>-2.3E-2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84</v>
      </c>
      <c r="C39" s="13">
        <f>'P&amp;L source'!D20</f>
        <v>-100</v>
      </c>
      <c r="D39" s="13">
        <f>'P&amp;L source'!E20</f>
        <v>-1396</v>
      </c>
      <c r="E39" s="13">
        <f>'P&amp;L source'!F20</f>
        <v>846</v>
      </c>
      <c r="G39" s="28">
        <f>+E39*(1+G40)</f>
        <v>846</v>
      </c>
      <c r="H39" s="28">
        <f>+G39*(1+H40)</f>
        <v>846</v>
      </c>
      <c r="I39" s="28">
        <f t="shared" ref="I39" si="12">+H39*(1+I40)</f>
        <v>846</v>
      </c>
      <c r="J39" s="28">
        <f t="shared" ref="J39" si="13">+I39*(1+J40)</f>
        <v>846</v>
      </c>
      <c r="K39" s="28">
        <f t="shared" ref="K39" si="14">+J39*(1+K40)</f>
        <v>846</v>
      </c>
    </row>
    <row r="40" spans="2:11" ht="12" customHeight="1">
      <c r="B40" s="7" t="s">
        <v>68</v>
      </c>
      <c r="C40" s="50">
        <v>0</v>
      </c>
      <c r="D40" s="26">
        <f>D39/C39-1</f>
        <v>12.96</v>
      </c>
      <c r="E40" s="26">
        <f>E39/D39-1</f>
        <v>-1.6060171919770774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69</v>
      </c>
      <c r="C41" s="69"/>
      <c r="D41" s="69"/>
      <c r="E41" s="69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70</v>
      </c>
      <c r="C42" s="69"/>
      <c r="D42" s="69"/>
      <c r="E42" s="69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71</v>
      </c>
      <c r="C43" s="69"/>
      <c r="D43" s="69"/>
      <c r="E43" s="69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85</v>
      </c>
      <c r="C45" s="13">
        <f>'P&amp;L source'!D21</f>
        <v>0</v>
      </c>
      <c r="D45" s="13">
        <f>'P&amp;L source'!E21</f>
        <v>0</v>
      </c>
      <c r="E45" s="13">
        <f>'P&amp;L source'!F21</f>
        <v>0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74</v>
      </c>
      <c r="C46" s="25">
        <f>C45/C$9</f>
        <v>0</v>
      </c>
      <c r="D46" s="25">
        <f>D45/D$9</f>
        <v>0</v>
      </c>
      <c r="E46" s="25">
        <f>E45/E$9</f>
        <v>0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69</v>
      </c>
      <c r="C47" s="69"/>
      <c r="D47" s="69"/>
      <c r="E47" s="69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70</v>
      </c>
      <c r="C48" s="69"/>
      <c r="D48" s="69"/>
      <c r="E48" s="69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71</v>
      </c>
      <c r="C49" s="69"/>
      <c r="D49" s="69"/>
      <c r="E49" s="69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18</v>
      </c>
      <c r="C51" s="13">
        <f>'P&amp;L source'!D25</f>
        <v>-189</v>
      </c>
      <c r="D51" s="13">
        <f>'P&amp;L source'!E25</f>
        <v>187</v>
      </c>
      <c r="E51" s="13">
        <f>'P&amp;L source'!F25</f>
        <v>-4058</v>
      </c>
      <c r="G51" s="28"/>
      <c r="H51" s="28"/>
      <c r="I51" s="28"/>
      <c r="J51" s="28"/>
      <c r="K51" s="28"/>
    </row>
    <row r="52" spans="2:11">
      <c r="B52" s="7" t="s">
        <v>76</v>
      </c>
      <c r="C52" s="25">
        <f>'P&amp;L'!C22</f>
        <v>-2.1558115661001482E-2</v>
      </c>
      <c r="D52" s="25">
        <f>'P&amp;L'!D22</f>
        <v>7.1183859916254283E-2</v>
      </c>
      <c r="E52" s="25">
        <f>'P&amp;L'!E22</f>
        <v>-0.12559579077684926</v>
      </c>
      <c r="G52" s="27">
        <f>+CHOOSE($C$5,G53,G54,G55)</f>
        <v>-0.1</v>
      </c>
      <c r="H52" s="27">
        <f t="shared" ref="H52:K52" si="18">+CHOOSE($C$5,H53,H54,H55)</f>
        <v>-0.14000000000000001</v>
      </c>
      <c r="I52" s="27">
        <f t="shared" si="18"/>
        <v>-0.13</v>
      </c>
      <c r="J52" s="27">
        <f t="shared" si="18"/>
        <v>-0.13</v>
      </c>
      <c r="K52" s="27">
        <f t="shared" si="18"/>
        <v>-0.13</v>
      </c>
    </row>
    <row r="53" spans="2:11">
      <c r="B53" s="7" t="s">
        <v>69</v>
      </c>
      <c r="C53" s="69"/>
      <c r="D53" s="69"/>
      <c r="E53" s="69"/>
      <c r="G53" s="27">
        <v>-0.1</v>
      </c>
      <c r="H53" s="27">
        <v>-0.14000000000000001</v>
      </c>
      <c r="I53" s="27">
        <v>-0.13</v>
      </c>
      <c r="J53" s="27">
        <v>-0.13</v>
      </c>
      <c r="K53" s="27">
        <v>-0.13</v>
      </c>
    </row>
    <row r="54" spans="2:11">
      <c r="B54" s="7" t="s">
        <v>70</v>
      </c>
      <c r="C54" s="69"/>
      <c r="D54" s="69"/>
      <c r="E54" s="69"/>
      <c r="G54" s="27">
        <v>-0.13300000000000001</v>
      </c>
      <c r="H54" s="27">
        <v>-0.17</v>
      </c>
      <c r="I54" s="27">
        <v>-0.17</v>
      </c>
      <c r="J54" s="27">
        <v>-0.17</v>
      </c>
      <c r="K54" s="27">
        <v>-0.17</v>
      </c>
    </row>
    <row r="55" spans="2:11">
      <c r="B55" s="7" t="s">
        <v>71</v>
      </c>
      <c r="C55" s="69"/>
      <c r="D55" s="69"/>
      <c r="E55" s="69"/>
      <c r="G55" s="27">
        <v>-0.15</v>
      </c>
      <c r="H55" s="27">
        <v>-0.18</v>
      </c>
      <c r="I55" s="27">
        <v>-0.19</v>
      </c>
      <c r="J55" s="27">
        <v>-0.19</v>
      </c>
      <c r="K55" s="27">
        <v>-0.19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>
      <selection activeCell="G9" sqref="G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22</v>
      </c>
    </row>
    <row r="3" spans="2:11" ht="3.75" customHeight="1"/>
    <row r="4" spans="2:11" ht="24.75" thickBot="1">
      <c r="B4" s="8" t="s">
        <v>162</v>
      </c>
      <c r="C4" s="18" t="s">
        <v>150</v>
      </c>
      <c r="D4" s="18" t="s">
        <v>151</v>
      </c>
      <c r="E4" s="18" t="s">
        <v>152</v>
      </c>
      <c r="F4" s="22"/>
      <c r="G4" s="19" t="s">
        <v>153</v>
      </c>
      <c r="H4" s="19" t="s">
        <v>154</v>
      </c>
      <c r="I4" s="19" t="s">
        <v>155</v>
      </c>
      <c r="J4" s="19" t="s">
        <v>156</v>
      </c>
      <c r="K4" s="19" t="s">
        <v>157</v>
      </c>
    </row>
    <row r="5" spans="2:11">
      <c r="B5" s="7" t="s">
        <v>77</v>
      </c>
      <c r="C5" s="13">
        <f>'BS source'!D11</f>
        <v>4650</v>
      </c>
      <c r="D5" s="13">
        <f>'BS source'!E11</f>
        <v>3827</v>
      </c>
      <c r="E5" s="13">
        <f>'BS source'!F11</f>
        <v>9999</v>
      </c>
      <c r="G5" s="28">
        <f>G6*'P&amp;L assumptions'!G9/360</f>
        <v>22997.699999999997</v>
      </c>
      <c r="H5" s="28">
        <f>H6*'P&amp;L assumptions'!H9/360</f>
        <v>40245.974999999991</v>
      </c>
      <c r="I5" s="28">
        <f>I6*'P&amp;L assumptions'!I9/360</f>
        <v>56344.364999999983</v>
      </c>
      <c r="J5" s="28">
        <f>J6*'P&amp;L assumptions'!J9/360</f>
        <v>67613.237999999983</v>
      </c>
      <c r="K5" s="28">
        <f>K6*'P&amp;L assumptions'!K9/360</f>
        <v>75726.826559999987</v>
      </c>
    </row>
    <row r="6" spans="2:11">
      <c r="B6" s="16" t="s">
        <v>79</v>
      </c>
      <c r="C6" s="16">
        <f>C5/'P&amp;L assumptions'!C9*360</f>
        <v>62.198112506502191</v>
      </c>
      <c r="D6" s="16">
        <f>D5/'P&amp;L assumptions'!D9*360</f>
        <v>51.075850819307476</v>
      </c>
      <c r="E6" s="16">
        <f>E5/'P&amp;L assumptions'!E9*360</f>
        <v>59.086044450280689</v>
      </c>
      <c r="G6" s="54">
        <f>$E$6</f>
        <v>59.086044450280689</v>
      </c>
      <c r="H6" s="54">
        <f t="shared" ref="H6:K6" si="0">$E$6</f>
        <v>59.086044450280689</v>
      </c>
      <c r="I6" s="54">
        <f t="shared" si="0"/>
        <v>59.086044450280689</v>
      </c>
      <c r="J6" s="54">
        <f t="shared" si="0"/>
        <v>59.086044450280689</v>
      </c>
      <c r="K6" s="54">
        <f t="shared" si="0"/>
        <v>59.086044450280689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27</v>
      </c>
      <c r="C8" s="13">
        <f>'BS source'!D10</f>
        <v>2605</v>
      </c>
      <c r="D8" s="13">
        <f>'BS source'!E10</f>
        <v>5159</v>
      </c>
      <c r="E8" s="13">
        <f>'BS source'!F10</f>
        <v>5282</v>
      </c>
      <c r="G8" s="28">
        <f>-G9*'P&amp;L assumptions'!G$21/360</f>
        <v>9351.0963198363515</v>
      </c>
      <c r="H8" s="28">
        <f>-H9*'P&amp;L assumptions'!H$21/360</f>
        <v>17143.676586366641</v>
      </c>
      <c r="I8" s="28">
        <f>-I9*'P&amp;L assumptions'!I$21/360</f>
        <v>23455.66660225618</v>
      </c>
      <c r="J8" s="28">
        <f>-J9*'P&amp;L assumptions'!J$21/360</f>
        <v>27492.223180318866</v>
      </c>
      <c r="K8" s="28">
        <f>-K9*'P&amp;L assumptions'!K$21/360</f>
        <v>30058.164010481967</v>
      </c>
    </row>
    <row r="9" spans="2:11">
      <c r="B9" s="16" t="s">
        <v>80</v>
      </c>
      <c r="C9" s="16">
        <f>-C8/'P&amp;L assumptions'!C$21*360</f>
        <v>99.353745100116527</v>
      </c>
      <c r="D9" s="16">
        <f>-D8/'P&amp;L assumptions'!D$21*360</f>
        <v>159.85883973145118</v>
      </c>
      <c r="E9" s="16">
        <f>-E8/'P&amp;L assumptions'!E$21*360</f>
        <v>114.40466879249144</v>
      </c>
      <c r="G9" s="54">
        <f>$E$9</f>
        <v>114.40466879249144</v>
      </c>
      <c r="H9" s="54">
        <f t="shared" ref="H9:K9" si="1">$E$9</f>
        <v>114.40466879249144</v>
      </c>
      <c r="I9" s="54">
        <f t="shared" si="1"/>
        <v>114.40466879249144</v>
      </c>
      <c r="J9" s="54">
        <f t="shared" si="1"/>
        <v>114.40466879249144</v>
      </c>
      <c r="K9" s="54">
        <f t="shared" si="1"/>
        <v>114.40466879249144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36</v>
      </c>
      <c r="C11" s="13">
        <f>'BS source'!J10</f>
        <v>1783</v>
      </c>
      <c r="D11" s="13">
        <f>'BS source'!K10</f>
        <v>1193</v>
      </c>
      <c r="E11" s="13">
        <f>'BS source'!L10</f>
        <v>2699</v>
      </c>
      <c r="G11" s="28">
        <f>-G12*'P&amp;L assumptions'!G$21/360</f>
        <v>4778.2296416581421</v>
      </c>
      <c r="H11" s="28">
        <f>-H12*'P&amp;L assumptions'!H$21/360</f>
        <v>8760.0876763732595</v>
      </c>
      <c r="I11" s="28">
        <f>-I12*'P&amp;L assumptions'!I$21/360</f>
        <v>11985.392684492504</v>
      </c>
      <c r="J11" s="28">
        <f>-J12*'P&amp;L assumptions'!J$21/360</f>
        <v>14047.995146474936</v>
      </c>
      <c r="K11" s="28">
        <f>-K12*'P&amp;L assumptions'!K$21/360</f>
        <v>15359.141360145932</v>
      </c>
    </row>
    <row r="12" spans="2:11">
      <c r="B12" s="16" t="s">
        <v>81</v>
      </c>
      <c r="C12" s="16">
        <f>-C11/'P&amp;L assumptions'!C$21*360</f>
        <v>68.002966415933884</v>
      </c>
      <c r="D12" s="16">
        <f>-D11/'P&amp;L assumptions'!D$21*360</f>
        <v>36.966775692890337</v>
      </c>
      <c r="E12" s="16">
        <f>-E11/'P&amp;L assumptions'!E$21*360</f>
        <v>58.458576499608924</v>
      </c>
      <c r="G12" s="54">
        <f>$E$12</f>
        <v>58.458576499608924</v>
      </c>
      <c r="H12" s="54">
        <f t="shared" ref="H12:K12" si="2">$E$12</f>
        <v>58.458576499608924</v>
      </c>
      <c r="I12" s="54">
        <f t="shared" si="2"/>
        <v>58.458576499608924</v>
      </c>
      <c r="J12" s="54">
        <f t="shared" si="2"/>
        <v>58.458576499608924</v>
      </c>
      <c r="K12" s="54">
        <f t="shared" si="2"/>
        <v>58.458576499608924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35</v>
      </c>
      <c r="C14" s="13">
        <f>'BS source'!D5</f>
        <v>2778</v>
      </c>
      <c r="D14" s="13">
        <f>'BS source'!E5</f>
        <v>3807</v>
      </c>
      <c r="E14" s="13">
        <f>'BS source'!F5</f>
        <v>3914</v>
      </c>
      <c r="G14" s="28">
        <f>G15*'P&amp;L assumptions'!G$9</f>
        <v>14413.722708229689</v>
      </c>
      <c r="H14" s="28">
        <f>H15*'P&amp;L assumptions'!H$9</f>
        <v>25224.014739401955</v>
      </c>
      <c r="I14" s="28">
        <f>I15*'P&amp;L assumptions'!I$9</f>
        <v>35313.620635162733</v>
      </c>
      <c r="J14" s="28">
        <f>J15*'P&amp;L assumptions'!J$9</f>
        <v>42376.34476219528</v>
      </c>
      <c r="K14" s="28">
        <f>K15*'P&amp;L assumptions'!K$9</f>
        <v>47461.506133658717</v>
      </c>
    </row>
    <row r="15" spans="2:11">
      <c r="B15" s="16" t="s">
        <v>78</v>
      </c>
      <c r="C15" s="53">
        <f>C14/'P&amp;L assumptions'!C$9</f>
        <v>0.10321765623838894</v>
      </c>
      <c r="D15" s="53">
        <f>D14/'P&amp;L assumptions'!D$9</f>
        <v>0.14113590865277675</v>
      </c>
      <c r="E15" s="53">
        <f>E14/'P&amp;L assumptions'!E$9</f>
        <v>6.4246085158070981E-2</v>
      </c>
      <c r="G15" s="71">
        <f>AVERAGE($C15:$E15)</f>
        <v>0.10286655001641222</v>
      </c>
      <c r="H15" s="71">
        <f t="shared" ref="H15:K15" si="3">AVERAGE($C15:$E15)</f>
        <v>0.10286655001641222</v>
      </c>
      <c r="I15" s="71">
        <f t="shared" si="3"/>
        <v>0.10286655001641222</v>
      </c>
      <c r="J15" s="71">
        <f t="shared" si="3"/>
        <v>0.10286655001641222</v>
      </c>
      <c r="K15" s="71">
        <f t="shared" si="3"/>
        <v>0.10286655001641222</v>
      </c>
    </row>
    <row r="16" spans="2:11">
      <c r="C16" s="13"/>
      <c r="D16" s="13"/>
      <c r="E16" s="13"/>
      <c r="G16" s="72"/>
      <c r="H16" s="72"/>
      <c r="I16" s="72"/>
      <c r="J16" s="72"/>
      <c r="K16" s="72"/>
    </row>
    <row r="17" spans="2:11">
      <c r="B17" s="7" t="s">
        <v>26</v>
      </c>
      <c r="C17" s="13">
        <f>'BS source'!D12</f>
        <v>6258</v>
      </c>
      <c r="D17" s="13">
        <f>'BS source'!E12</f>
        <v>9045</v>
      </c>
      <c r="E17" s="13">
        <f>'BS source'!F12</f>
        <v>15007</v>
      </c>
      <c r="G17" s="28">
        <f>G18*'P&amp;L assumptions'!G$9</f>
        <v>38027.454341157769</v>
      </c>
      <c r="H17" s="28">
        <f>H18*'P&amp;L assumptions'!H$9</f>
        <v>66548.045097026101</v>
      </c>
      <c r="I17" s="28">
        <f>I18*'P&amp;L assumptions'!I$9</f>
        <v>93167.263135836532</v>
      </c>
      <c r="J17" s="28">
        <f>J18*'P&amp;L assumptions'!J$9</f>
        <v>111800.71576300383</v>
      </c>
      <c r="K17" s="28">
        <f>K18*'P&amp;L assumptions'!K$9</f>
        <v>125216.8016545643</v>
      </c>
    </row>
    <row r="18" spans="2:11">
      <c r="B18" s="16" t="s">
        <v>78</v>
      </c>
      <c r="C18" s="53">
        <f>C17/'P&amp;L assumptions'!C$9</f>
        <v>0.23251839191498849</v>
      </c>
      <c r="D18" s="53">
        <f>D17/'P&amp;L assumptions'!D$9</f>
        <v>0.3353229035367391</v>
      </c>
      <c r="E18" s="53">
        <f>E17/'P&amp;L assumptions'!E$9</f>
        <v>0.24633137454449952</v>
      </c>
      <c r="G18" s="71">
        <f>AVERAGE($C18:$E18)</f>
        <v>0.27139088999874234</v>
      </c>
      <c r="H18" s="71">
        <f t="shared" ref="H18:K18" si="4">AVERAGE($C18:$E18)</f>
        <v>0.27139088999874234</v>
      </c>
      <c r="I18" s="71">
        <f t="shared" si="4"/>
        <v>0.27139088999874234</v>
      </c>
      <c r="J18" s="71">
        <f t="shared" si="4"/>
        <v>0.27139088999874234</v>
      </c>
      <c r="K18" s="71">
        <f t="shared" si="4"/>
        <v>0.27139088999874234</v>
      </c>
    </row>
    <row r="19" spans="2:11">
      <c r="C19" s="13"/>
      <c r="D19" s="13"/>
      <c r="E19" s="13"/>
      <c r="G19" s="72"/>
      <c r="H19" s="72"/>
      <c r="I19" s="72"/>
      <c r="J19" s="72"/>
      <c r="K19" s="72"/>
    </row>
    <row r="20" spans="2:11">
      <c r="B20" s="7" t="s">
        <v>37</v>
      </c>
      <c r="C20" s="13">
        <f>'BS source'!J11+'BS source'!J12+'BS source'!J13</f>
        <v>4105</v>
      </c>
      <c r="D20" s="13">
        <f>'BS source'!K11+'BS source'!K12+'BS source'!K13</f>
        <v>6033</v>
      </c>
      <c r="E20" s="13">
        <f>'BS source'!L11+'BS source'!L12+'BS source'!L13</f>
        <v>9223</v>
      </c>
      <c r="G20" s="28">
        <f>G21*'P&amp;L assumptions'!G$9</f>
        <v>24641.280529399406</v>
      </c>
      <c r="H20" s="28">
        <f>H21*'P&amp;L assumptions'!H$9</f>
        <v>43122.240926448962</v>
      </c>
      <c r="I20" s="28">
        <f>I21*'P&amp;L assumptions'!I$9</f>
        <v>60371.137297028545</v>
      </c>
      <c r="J20" s="28">
        <f>J21*'P&amp;L assumptions'!J$9</f>
        <v>72445.364756434254</v>
      </c>
      <c r="K20" s="28">
        <f>K21*'P&amp;L assumptions'!K$9</f>
        <v>81138.808527206362</v>
      </c>
    </row>
    <row r="21" spans="2:11">
      <c r="B21" s="16" t="s">
        <v>78</v>
      </c>
      <c r="C21" s="53">
        <f>C20/'P&amp;L assumptions'!C$9</f>
        <v>0.15252285056104631</v>
      </c>
      <c r="D21" s="53">
        <f>D20/'P&amp;L assumptions'!D$9</f>
        <v>0.22365982056795433</v>
      </c>
      <c r="E21" s="53">
        <f>E20/'P&amp;L assumptions'!E$9</f>
        <v>0.1513903023538295</v>
      </c>
      <c r="G21" s="71">
        <f>AVERAGE($C21:$E21)</f>
        <v>0.17585765782761001</v>
      </c>
      <c r="H21" s="71">
        <f t="shared" ref="H21:K21" si="5">AVERAGE($C21:$E21)</f>
        <v>0.17585765782761001</v>
      </c>
      <c r="I21" s="71">
        <f t="shared" si="5"/>
        <v>0.17585765782761001</v>
      </c>
      <c r="J21" s="71">
        <f t="shared" si="5"/>
        <v>0.17585765782761001</v>
      </c>
      <c r="K21" s="71">
        <f t="shared" si="5"/>
        <v>0.17585765782761001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>
      <selection activeCell="B11" sqref="B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Q56"/>
  <sheetViews>
    <sheetView workbookViewId="0">
      <selection activeCell="G24" sqref="G24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8" t="s">
        <v>162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M3" s="23" t="s">
        <v>48</v>
      </c>
    </row>
    <row r="4" spans="2:17">
      <c r="B4" s="7" t="s">
        <v>67</v>
      </c>
      <c r="C4" s="13">
        <f>+SUMIF('P&amp;L assumptions'!$B:$B,'P&amp;L'!$B4,'P&amp;L assumptions'!C:C)</f>
        <v>26914</v>
      </c>
      <c r="D4" s="13">
        <f>+SUMIF('P&amp;L assumptions'!$B:$B,'P&amp;L'!$B4,'P&amp;L assumptions'!D:D)</f>
        <v>26974</v>
      </c>
      <c r="E4" s="13">
        <f>+SUMIF('P&amp;L assumptions'!$B:$B,'P&amp;L'!$B4,'P&amp;L assumptions'!E:E)</f>
        <v>60922</v>
      </c>
      <c r="G4" s="28">
        <f>+SUMIF('P&amp;L assumptions'!$B:$B,'P&amp;L'!$B4,'P&amp;L assumptions'!G:G)</f>
        <v>140120.59999999998</v>
      </c>
      <c r="H4" s="28">
        <f>+SUMIF('P&amp;L assumptions'!$B:$B,'P&amp;L'!$B4,'P&amp;L assumptions'!H:H)</f>
        <v>245211.04999999996</v>
      </c>
      <c r="I4" s="28">
        <f>+SUMIF('P&amp;L assumptions'!$B:$B,'P&amp;L'!$B4,'P&amp;L assumptions'!I:I)</f>
        <v>343295.46999999991</v>
      </c>
      <c r="J4" s="28">
        <f>+SUMIF('P&amp;L assumptions'!$B:$B,'P&amp;L'!$B4,'P&amp;L assumptions'!J:J)</f>
        <v>411954.5639999999</v>
      </c>
      <c r="K4" s="28">
        <f>+SUMIF('P&amp;L assumptions'!$B:$B,'P&amp;L'!$B4,'P&amp;L assumptions'!K:K)</f>
        <v>461389.11167999991</v>
      </c>
    </row>
    <row r="5" spans="2:17">
      <c r="B5" s="21" t="s">
        <v>72</v>
      </c>
      <c r="C5" s="38">
        <f>+SUMIF('P&amp;L assumptions'!$B:$B,'P&amp;L'!$B5,'P&amp;L assumptions'!C:C)</f>
        <v>0</v>
      </c>
      <c r="D5" s="38">
        <f>+SUMIF('P&amp;L assumptions'!$B:$B,'P&amp;L'!$B5,'P&amp;L assumptions'!D:D)</f>
        <v>0</v>
      </c>
      <c r="E5" s="38">
        <f>+SUMIF('P&amp;L assumptions'!$B:$B,'P&amp;L'!$B5,'P&amp;L assumptions'!E:E)</f>
        <v>0</v>
      </c>
      <c r="F5" s="21"/>
      <c r="G5" s="28">
        <f>+SUMIF('P&amp;L assumptions'!$B:$B,'P&amp;L'!$B5,'P&amp;L assumptions'!G:G)</f>
        <v>0</v>
      </c>
      <c r="H5" s="28">
        <f>+SUMIF('P&amp;L assumptions'!$B:$B,'P&amp;L'!$B5,'P&amp;L assumptions'!H:H)</f>
        <v>0</v>
      </c>
      <c r="I5" s="28">
        <f>+SUMIF('P&amp;L assumptions'!$B:$B,'P&amp;L'!$B5,'P&amp;L assumptions'!I:I)</f>
        <v>0</v>
      </c>
      <c r="J5" s="28">
        <f>+SUMIF('P&amp;L assumptions'!$B:$B,'P&amp;L'!$B5,'P&amp;L assumptions'!J:J)</f>
        <v>0</v>
      </c>
      <c r="K5" s="28">
        <f>+SUMIF('P&amp;L assumptions'!$B:$B,'P&amp;L'!$B5,'P&amp;L assumptions'!K:K)</f>
        <v>0</v>
      </c>
      <c r="L5" s="21"/>
      <c r="N5" s="21"/>
      <c r="O5" s="21"/>
      <c r="P5" s="21"/>
      <c r="Q5" s="21"/>
    </row>
    <row r="6" spans="2:17">
      <c r="B6" s="75" t="s">
        <v>82</v>
      </c>
      <c r="C6" s="76">
        <f>+C4+C5</f>
        <v>26914</v>
      </c>
      <c r="D6" s="76">
        <f>+D4+D5</f>
        <v>26974</v>
      </c>
      <c r="E6" s="76">
        <f>+E4+E5</f>
        <v>60922</v>
      </c>
      <c r="F6" s="77"/>
      <c r="G6" s="78">
        <f t="shared" ref="G6:K6" si="0">+G4+G5</f>
        <v>140120.59999999998</v>
      </c>
      <c r="H6" s="78">
        <f t="shared" si="0"/>
        <v>245211.04999999996</v>
      </c>
      <c r="I6" s="78">
        <f t="shared" si="0"/>
        <v>343295.46999999991</v>
      </c>
      <c r="J6" s="78">
        <f t="shared" si="0"/>
        <v>411954.5639999999</v>
      </c>
      <c r="K6" s="78">
        <f t="shared" si="0"/>
        <v>461389.11167999991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73</v>
      </c>
      <c r="C8" s="38">
        <f>+SUMIF('P&amp;L assumptions'!$B:$B,'P&amp;L'!$B8,'P&amp;L assumptions'!C:C)</f>
        <v>-9439</v>
      </c>
      <c r="D8" s="38">
        <f>+SUMIF('P&amp;L assumptions'!$B:$B,'P&amp;L'!$B8,'P&amp;L assumptions'!D:D)</f>
        <v>-11618</v>
      </c>
      <c r="E8" s="38">
        <f>+SUMIF('P&amp;L assumptions'!$B:$B,'P&amp;L'!$B8,'P&amp;L assumptions'!E:E)</f>
        <v>-16621</v>
      </c>
      <c r="F8" s="21"/>
      <c r="G8" s="28">
        <f>+SUMIF('P&amp;L assumptions'!$B:$B,'P&amp;L'!$B8,'P&amp;L assumptions'!G:G)</f>
        <v>-29425.325999999994</v>
      </c>
      <c r="H8" s="28">
        <f>+SUMIF('P&amp;L assumptions'!$B:$B,'P&amp;L'!$B8,'P&amp;L assumptions'!H:H)</f>
        <v>-53946.43099999999</v>
      </c>
      <c r="I8" s="28">
        <f>+SUMIF('P&amp;L assumptions'!$B:$B,'P&amp;L'!$B8,'P&amp;L assumptions'!I:I)</f>
        <v>-73808.526049999986</v>
      </c>
      <c r="J8" s="28">
        <f>+SUMIF('P&amp;L assumptions'!$B:$B,'P&amp;L'!$B8,'P&amp;L assumptions'!J:J)</f>
        <v>-86510.458439999973</v>
      </c>
      <c r="K8" s="28">
        <f>+SUMIF('P&amp;L assumptions'!$B:$B,'P&amp;L'!$B8,'P&amp;L assumptions'!K:K)</f>
        <v>-94584.767894399978</v>
      </c>
      <c r="L8" s="21"/>
      <c r="N8" s="21"/>
      <c r="O8" s="21"/>
      <c r="P8" s="21"/>
      <c r="Q8" s="21"/>
    </row>
    <row r="9" spans="2:17">
      <c r="B9" s="75" t="s">
        <v>83</v>
      </c>
      <c r="C9" s="76">
        <f>+C6+C8</f>
        <v>17475</v>
      </c>
      <c r="D9" s="76">
        <f>+D6+D8</f>
        <v>15356</v>
      </c>
      <c r="E9" s="76">
        <f>+E6+E8</f>
        <v>44301</v>
      </c>
      <c r="F9" s="77"/>
      <c r="G9" s="78">
        <f t="shared" ref="G9:K9" si="1">+G6+G8</f>
        <v>110695.27399999998</v>
      </c>
      <c r="H9" s="78">
        <f t="shared" si="1"/>
        <v>191264.61899999998</v>
      </c>
      <c r="I9" s="78">
        <f t="shared" si="1"/>
        <v>269486.94394999993</v>
      </c>
      <c r="J9" s="78">
        <f t="shared" si="1"/>
        <v>325444.10555999994</v>
      </c>
      <c r="K9" s="78">
        <f t="shared" si="1"/>
        <v>366804.34378559992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75</v>
      </c>
      <c r="C11" s="38">
        <f>+SUMIF('P&amp;L assumptions'!$B:$B,'P&amp;L'!$B11,'P&amp;L assumptions'!C:C)</f>
        <v>-7434</v>
      </c>
      <c r="D11" s="38">
        <f>+SUMIF('P&amp;L assumptions'!$B:$B,'P&amp;L'!$B11,'P&amp;L assumptions'!D:D)</f>
        <v>-9779</v>
      </c>
      <c r="E11" s="38">
        <f>+SUMIF('P&amp;L assumptions'!$B:$B,'P&amp;L'!$B11,'P&amp;L assumptions'!E:E)</f>
        <v>-11329</v>
      </c>
      <c r="F11" s="38"/>
      <c r="G11" s="28">
        <f>+SUMIF('P&amp;L assumptions'!$B:$B,'P&amp;L'!$B11,'P&amp;L assumptions'!G:G)</f>
        <v>-16814.471999999998</v>
      </c>
      <c r="H11" s="28">
        <f>+SUMIF('P&amp;L assumptions'!$B:$B,'P&amp;L'!$B11,'P&amp;L assumptions'!H:H)</f>
        <v>-25747.160249999994</v>
      </c>
      <c r="I11" s="28">
        <f>+SUMIF('P&amp;L assumptions'!$B:$B,'P&amp;L'!$B11,'P&amp;L assumptions'!I:I)</f>
        <v>-34329.546999999991</v>
      </c>
      <c r="J11" s="28">
        <f>+SUMIF('P&amp;L assumptions'!$B:$B,'P&amp;L'!$B11,'P&amp;L assumptions'!J:J)</f>
        <v>-39135.68357999999</v>
      </c>
      <c r="K11" s="28">
        <f>+SUMIF('P&amp;L assumptions'!$B:$B,'P&amp;L'!$B11,'P&amp;L assumptions'!K:K)</f>
        <v>-41525.020051199994</v>
      </c>
      <c r="L11" s="21"/>
      <c r="N11" s="21"/>
      <c r="O11" s="21"/>
      <c r="P11" s="21"/>
      <c r="Q11" s="21"/>
    </row>
    <row r="12" spans="2:17">
      <c r="B12" s="75" t="s">
        <v>12</v>
      </c>
      <c r="C12" s="76">
        <f>+C9+C11</f>
        <v>10041</v>
      </c>
      <c r="D12" s="76">
        <f>+D9+D11</f>
        <v>5577</v>
      </c>
      <c r="E12" s="76">
        <f>+E9+E11</f>
        <v>32972</v>
      </c>
      <c r="F12" s="77"/>
      <c r="G12" s="78">
        <f t="shared" ref="G12:K12" si="2">+G9+G11</f>
        <v>93880.801999999981</v>
      </c>
      <c r="H12" s="78">
        <f t="shared" si="2"/>
        <v>165517.45874999999</v>
      </c>
      <c r="I12" s="78">
        <f t="shared" si="2"/>
        <v>235157.39694999994</v>
      </c>
      <c r="J12" s="78">
        <f t="shared" si="2"/>
        <v>286308.42197999993</v>
      </c>
      <c r="K12" s="78">
        <f t="shared" si="2"/>
        <v>325279.32373439992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13</v>
      </c>
      <c r="C14" s="38">
        <f>+SUMIF('P&amp;L assumptions'!$B:$B,'P&amp;L'!$B14,'P&amp;L assumptions'!C:C)</f>
        <v>-1174</v>
      </c>
      <c r="D14" s="38">
        <f>+SUMIF('P&amp;L assumptions'!$B:$B,'P&amp;L'!$B14,'P&amp;L assumptions'!D:D)</f>
        <v>-1554</v>
      </c>
      <c r="E14" s="38">
        <f>+SUMIF('P&amp;L assumptions'!$B:$B,'P&amp;L'!$B14,'P&amp;L assumptions'!E:E)</f>
        <v>-1508</v>
      </c>
      <c r="F14" s="38"/>
      <c r="G14" s="28">
        <f>+SUMIF('P&amp;L assumptions'!$B:$B,'P&amp;L'!$B14,'P&amp;L assumptions'!G:G)</f>
        <v>-2802.4119999999998</v>
      </c>
      <c r="H14" s="28">
        <f>+SUMIF('P&amp;L assumptions'!$B:$B,'P&amp;L'!$B14,'P&amp;L assumptions'!H:H)</f>
        <v>-4659.0099499999988</v>
      </c>
      <c r="I14" s="28">
        <f>+SUMIF('P&amp;L assumptions'!$B:$B,'P&amp;L'!$B14,'P&amp;L assumptions'!I:I)</f>
        <v>-6179.3184599999977</v>
      </c>
      <c r="J14" s="28">
        <f>+SUMIF('P&amp;L assumptions'!$B:$B,'P&amp;L'!$B14,'P&amp;L assumptions'!J:J)</f>
        <v>-6591.2730239999983</v>
      </c>
      <c r="K14" s="28">
        <f>+SUMIF('P&amp;L assumptions'!$B:$B,'P&amp;L'!$B14,'P&amp;L assumptions'!K:K)</f>
        <v>-6920.8366751999984</v>
      </c>
      <c r="L14" s="21"/>
      <c r="N14" s="21"/>
      <c r="O14" s="21"/>
      <c r="P14" s="21"/>
      <c r="Q14" s="21"/>
    </row>
    <row r="15" spans="2:17">
      <c r="B15" s="75" t="s">
        <v>14</v>
      </c>
      <c r="C15" s="76">
        <f>+C12+C14</f>
        <v>8867</v>
      </c>
      <c r="D15" s="76">
        <f>+D12+D14</f>
        <v>4023</v>
      </c>
      <c r="E15" s="76">
        <f>+E12+E14</f>
        <v>31464</v>
      </c>
      <c r="F15" s="77"/>
      <c r="G15" s="78">
        <f t="shared" ref="G15:K15" si="3">+G12+G14</f>
        <v>91078.389999999985</v>
      </c>
      <c r="H15" s="78">
        <f t="shared" si="3"/>
        <v>160858.44879999998</v>
      </c>
      <c r="I15" s="78">
        <f t="shared" si="3"/>
        <v>228978.07848999993</v>
      </c>
      <c r="J15" s="78">
        <f t="shared" si="3"/>
        <v>279717.14895599993</v>
      </c>
      <c r="K15" s="78">
        <f t="shared" si="3"/>
        <v>318358.48705919995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84</v>
      </c>
      <c r="C17" s="38">
        <f>+SUMIF('P&amp;L assumptions'!$B:$B,'P&amp;L'!$B17,'P&amp;L assumptions'!C:C)</f>
        <v>-100</v>
      </c>
      <c r="D17" s="38">
        <f>+SUMIF('P&amp;L assumptions'!$B:$B,'P&amp;L'!$B17,'P&amp;L assumptions'!D:D)</f>
        <v>-1396</v>
      </c>
      <c r="E17" s="38">
        <f>+SUMIF('P&amp;L assumptions'!$B:$B,'P&amp;L'!$B17,'P&amp;L assumptions'!E:E)</f>
        <v>846</v>
      </c>
      <c r="F17" s="38"/>
      <c r="G17" s="28">
        <f>+SUMIF('P&amp;L assumptions'!$B:$B,'P&amp;L'!$B17,'P&amp;L assumptions'!G:G)</f>
        <v>846</v>
      </c>
      <c r="H17" s="28">
        <f>+SUMIF('P&amp;L assumptions'!$B:$B,'P&amp;L'!$B17,'P&amp;L assumptions'!H:H)</f>
        <v>846</v>
      </c>
      <c r="I17" s="28">
        <f>+SUMIF('P&amp;L assumptions'!$B:$B,'P&amp;L'!$B17,'P&amp;L assumptions'!I:I)</f>
        <v>846</v>
      </c>
      <c r="J17" s="28">
        <f>+SUMIF('P&amp;L assumptions'!$B:$B,'P&amp;L'!$B17,'P&amp;L assumptions'!J:J)</f>
        <v>846</v>
      </c>
      <c r="K17" s="28">
        <f>+SUMIF('P&amp;L assumptions'!$B:$B,'P&amp;L'!$B17,'P&amp;L assumptions'!K:K)</f>
        <v>846</v>
      </c>
      <c r="L17" s="21"/>
      <c r="N17" s="21"/>
      <c r="O17" s="21"/>
      <c r="P17" s="21"/>
      <c r="Q17" s="21"/>
    </row>
    <row r="18" spans="2:17" ht="12" customHeight="1">
      <c r="B18" s="21" t="s">
        <v>85</v>
      </c>
      <c r="C18" s="38">
        <f>+SUMIF('P&amp;L assumptions'!$B:$B,'P&amp;L'!$B18,'P&amp;L assumptions'!C:C)</f>
        <v>0</v>
      </c>
      <c r="D18" s="38">
        <f>+SUMIF('P&amp;L assumptions'!$B:$B,'P&amp;L'!$B18,'P&amp;L assumptions'!D:D)</f>
        <v>0</v>
      </c>
      <c r="E18" s="38">
        <f>+SUMIF('P&amp;L assumptions'!$B:$B,'P&amp;L'!$B18,'P&amp;L assumptions'!E:E)</f>
        <v>0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5" t="s">
        <v>17</v>
      </c>
      <c r="C19" s="76">
        <f>+C15+C17+C18</f>
        <v>8767</v>
      </c>
      <c r="D19" s="76">
        <f>+D15+D17+D18</f>
        <v>2627</v>
      </c>
      <c r="E19" s="76">
        <f>+E15+E17+E18</f>
        <v>32310</v>
      </c>
      <c r="F19" s="77"/>
      <c r="G19" s="78">
        <f t="shared" ref="G19:K19" si="4">+G15+G17+G18</f>
        <v>91924.389999999985</v>
      </c>
      <c r="H19" s="78">
        <f t="shared" si="4"/>
        <v>161704.44879999998</v>
      </c>
      <c r="I19" s="78">
        <f t="shared" si="4"/>
        <v>229824.07848999993</v>
      </c>
      <c r="J19" s="78">
        <f t="shared" si="4"/>
        <v>280563.14895599993</v>
      </c>
      <c r="K19" s="78">
        <f t="shared" si="4"/>
        <v>319204.48705919995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18</v>
      </c>
      <c r="C21" s="55">
        <f>'P&amp;L assumptions'!C51</f>
        <v>-189</v>
      </c>
      <c r="D21" s="55">
        <f>'P&amp;L assumptions'!D51</f>
        <v>187</v>
      </c>
      <c r="E21" s="55">
        <f>'P&amp;L assumptions'!E51</f>
        <v>-4058</v>
      </c>
      <c r="F21" s="38"/>
      <c r="G21" s="79">
        <f>G22*G19</f>
        <v>-9192.4389999999985</v>
      </c>
      <c r="H21" s="36">
        <f t="shared" ref="H21:K21" si="5">H22*H19</f>
        <v>-22638.622832000001</v>
      </c>
      <c r="I21" s="36">
        <f t="shared" si="5"/>
        <v>-29877.130203699991</v>
      </c>
      <c r="J21" s="36">
        <f t="shared" si="5"/>
        <v>-36473.209364279995</v>
      </c>
      <c r="K21" s="36">
        <f t="shared" si="5"/>
        <v>-41496.583317695993</v>
      </c>
      <c r="L21" s="21"/>
      <c r="N21" s="21"/>
      <c r="O21" s="21"/>
      <c r="P21" s="21"/>
      <c r="Q21" s="21"/>
    </row>
    <row r="22" spans="2:17">
      <c r="B22" s="21" t="s">
        <v>86</v>
      </c>
      <c r="C22" s="39">
        <f>C21/C19</f>
        <v>-2.1558115661001482E-2</v>
      </c>
      <c r="D22" s="39">
        <f t="shared" ref="D22:E22" si="6">D21/D19</f>
        <v>7.1183859916254283E-2</v>
      </c>
      <c r="E22" s="39">
        <f t="shared" si="6"/>
        <v>-0.12559579077684926</v>
      </c>
      <c r="F22" s="38"/>
      <c r="G22" s="44">
        <f>'P&amp;L assumptions'!G52</f>
        <v>-0.1</v>
      </c>
      <c r="H22" s="44">
        <f>'P&amp;L assumptions'!H52</f>
        <v>-0.14000000000000001</v>
      </c>
      <c r="I22" s="44">
        <f>'P&amp;L assumptions'!I52</f>
        <v>-0.13</v>
      </c>
      <c r="J22" s="44">
        <f>'P&amp;L assumptions'!J52</f>
        <v>-0.13</v>
      </c>
      <c r="K22" s="44">
        <f>'P&amp;L assumptions'!K52</f>
        <v>-0.13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3" t="s">
        <v>19</v>
      </c>
      <c r="C24" s="74">
        <f>+C19+C21</f>
        <v>8578</v>
      </c>
      <c r="D24" s="74">
        <f>+D19+D21</f>
        <v>2814</v>
      </c>
      <c r="E24" s="74">
        <f>+E19+E21</f>
        <v>28252</v>
      </c>
      <c r="F24" s="74"/>
      <c r="G24" s="74">
        <f t="shared" ref="G24:K24" si="7">+G19+G21</f>
        <v>82731.950999999986</v>
      </c>
      <c r="H24" s="74">
        <f t="shared" si="7"/>
        <v>139065.82596799999</v>
      </c>
      <c r="I24" s="74">
        <f t="shared" si="7"/>
        <v>199946.94828629994</v>
      </c>
      <c r="J24" s="74">
        <f t="shared" si="7"/>
        <v>244089.93959171994</v>
      </c>
      <c r="K24" s="74">
        <f t="shared" si="7"/>
        <v>277707.90374150395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87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>
      <selection activeCell="K23" sqref="K23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0" width="9.140625" style="7"/>
    <col min="11" max="11" width="10" style="7" bestFit="1" customWidth="1"/>
    <col min="12" max="12" width="2" style="7" customWidth="1"/>
    <col min="13" max="16384" width="9.140625" style="7"/>
  </cols>
  <sheetData>
    <row r="1" spans="2:13" ht="15.75">
      <c r="B1" s="6" t="s">
        <v>49</v>
      </c>
    </row>
    <row r="3" spans="2:13" ht="24.75" thickBot="1">
      <c r="B3" s="8" t="s">
        <v>162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M3" s="23" t="s">
        <v>48</v>
      </c>
    </row>
    <row r="4" spans="2:13">
      <c r="B4" s="7" t="s">
        <v>24</v>
      </c>
      <c r="C4" s="13">
        <f>'BS source'!D4</f>
        <v>6688</v>
      </c>
      <c r="D4" s="13">
        <f>'BS source'!E4</f>
        <v>6048</v>
      </c>
      <c r="E4" s="13">
        <f>'BS source'!F4</f>
        <v>5542</v>
      </c>
      <c r="G4" s="28">
        <f>$E$4</f>
        <v>5542</v>
      </c>
      <c r="H4" s="28">
        <f t="shared" ref="H4:K4" si="0">$E$4</f>
        <v>5542</v>
      </c>
      <c r="I4" s="28">
        <f t="shared" si="0"/>
        <v>5542</v>
      </c>
      <c r="J4" s="28">
        <f t="shared" si="0"/>
        <v>5542</v>
      </c>
      <c r="K4" s="28">
        <f t="shared" si="0"/>
        <v>5542</v>
      </c>
      <c r="M4" s="7" t="s">
        <v>92</v>
      </c>
    </row>
    <row r="5" spans="2:13">
      <c r="B5" s="7" t="s">
        <v>35</v>
      </c>
      <c r="C5" s="13">
        <f>+SUMIF('BS assumptions'!$B:$B,BS!$B5,'BS assumptions'!C:C)</f>
        <v>2778</v>
      </c>
      <c r="D5" s="13">
        <f>+SUMIF('BS assumptions'!$B:$B,BS!$B5,'BS assumptions'!D:D)</f>
        <v>3807</v>
      </c>
      <c r="E5" s="13">
        <f>+SUMIF('BS assumptions'!$B:$B,BS!$B5,'BS assumptions'!E:E)</f>
        <v>3914</v>
      </c>
      <c r="G5" s="28">
        <f>+SUMIF('BS assumptions'!$B:$B,BS!$B5,'BS assumptions'!G:G)</f>
        <v>14413.722708229689</v>
      </c>
      <c r="H5" s="28">
        <f>+SUMIF('BS assumptions'!$B:$B,BS!$B5,'BS assumptions'!H:H)</f>
        <v>25224.014739401955</v>
      </c>
      <c r="I5" s="28">
        <f>+SUMIF('BS assumptions'!$B:$B,BS!$B5,'BS assumptions'!I:I)</f>
        <v>35313.620635162733</v>
      </c>
      <c r="J5" s="28">
        <f>+SUMIF('BS assumptions'!$B:$B,BS!$B5,'BS assumptions'!J:J)</f>
        <v>42376.34476219528</v>
      </c>
      <c r="K5" s="28">
        <f>+SUMIF('BS assumptions'!$B:$B,BS!$B5,'BS assumptions'!K:K)</f>
        <v>47461.506133658717</v>
      </c>
    </row>
    <row r="6" spans="2:13">
      <c r="B6" s="7" t="s">
        <v>44</v>
      </c>
      <c r="C6" s="13">
        <f>'BS source'!D6</f>
        <v>19218</v>
      </c>
      <c r="D6" s="13">
        <f>'BS source'!E6</f>
        <v>9907</v>
      </c>
      <c r="E6" s="13">
        <f>'BS source'!F6</f>
        <v>18704</v>
      </c>
      <c r="G6" s="28">
        <f>$E$6</f>
        <v>18704</v>
      </c>
      <c r="H6" s="28">
        <f t="shared" ref="H6:K6" si="1">$E$6</f>
        <v>18704</v>
      </c>
      <c r="I6" s="28">
        <f t="shared" si="1"/>
        <v>18704</v>
      </c>
      <c r="J6" s="28">
        <f t="shared" si="1"/>
        <v>18704</v>
      </c>
      <c r="K6" s="28">
        <f t="shared" si="1"/>
        <v>18704</v>
      </c>
      <c r="M6" s="7" t="s">
        <v>92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27</v>
      </c>
      <c r="C8" s="13">
        <f>+SUMIF('BS assumptions'!$B:$B,BS!$B8,'BS assumptions'!C:C)</f>
        <v>2605</v>
      </c>
      <c r="D8" s="13">
        <f>+SUMIF('BS assumptions'!$B:$B,BS!$B8,'BS assumptions'!D:D)</f>
        <v>5159</v>
      </c>
      <c r="E8" s="13">
        <f>+SUMIF('BS assumptions'!$B:$B,BS!$B8,'BS assumptions'!E:E)</f>
        <v>5282</v>
      </c>
      <c r="G8" s="28">
        <f>+SUMIF('BS assumptions'!$B:$B,BS!$B8,'BS assumptions'!G:G)</f>
        <v>9351.0963198363515</v>
      </c>
      <c r="H8" s="28">
        <f>+SUMIF('BS assumptions'!$B:$B,BS!$B8,'BS assumptions'!H:H)</f>
        <v>17143.676586366641</v>
      </c>
      <c r="I8" s="28">
        <f>+SUMIF('BS assumptions'!$B:$B,BS!$B8,'BS assumptions'!I:I)</f>
        <v>23455.66660225618</v>
      </c>
      <c r="J8" s="28">
        <f>+SUMIF('BS assumptions'!$B:$B,BS!$B8,'BS assumptions'!J:J)</f>
        <v>27492.223180318866</v>
      </c>
      <c r="K8" s="28">
        <f>+SUMIF('BS assumptions'!$B:$B,BS!$B8,'BS assumptions'!K:K)</f>
        <v>30058.164010481967</v>
      </c>
    </row>
    <row r="9" spans="2:13">
      <c r="B9" s="7" t="s">
        <v>77</v>
      </c>
      <c r="C9" s="13">
        <f>+SUMIF('BS assumptions'!$B:$B,BS!$B9,'BS assumptions'!C:C)</f>
        <v>4650</v>
      </c>
      <c r="D9" s="13">
        <f>+SUMIF('BS assumptions'!$B:$B,BS!$B9,'BS assumptions'!D:D)</f>
        <v>3827</v>
      </c>
      <c r="E9" s="13">
        <f>+SUMIF('BS assumptions'!$B:$B,BS!$B9,'BS assumptions'!E:E)</f>
        <v>9999</v>
      </c>
      <c r="G9" s="28">
        <f>+SUMIF('BS assumptions'!$B:$B,BS!$B9,'BS assumptions'!G:G)</f>
        <v>22997.699999999997</v>
      </c>
      <c r="H9" s="28">
        <f>+SUMIF('BS assumptions'!$B:$B,BS!$B9,'BS assumptions'!H:H)</f>
        <v>40245.974999999991</v>
      </c>
      <c r="I9" s="28">
        <f>+SUMIF('BS assumptions'!$B:$B,BS!$B9,'BS assumptions'!I:I)</f>
        <v>56344.364999999983</v>
      </c>
      <c r="J9" s="28">
        <f>+SUMIF('BS assumptions'!$B:$B,BS!$B9,'BS assumptions'!J:J)</f>
        <v>67613.237999999983</v>
      </c>
      <c r="K9" s="28">
        <f>+SUMIF('BS assumptions'!$B:$B,BS!$B9,'BS assumptions'!K:K)</f>
        <v>75726.826559999987</v>
      </c>
    </row>
    <row r="10" spans="2:13">
      <c r="B10" s="7" t="s">
        <v>26</v>
      </c>
      <c r="C10" s="38">
        <f>+SUMIF('BS assumptions'!$B:$B,BS!$B10,'BS assumptions'!C:C)</f>
        <v>6258</v>
      </c>
      <c r="D10" s="38">
        <f>+SUMIF('BS assumptions'!$B:$B,BS!$B10,'BS assumptions'!D:D)</f>
        <v>9045</v>
      </c>
      <c r="E10" s="38">
        <f>+SUMIF('BS assumptions'!$B:$B,BS!$B10,'BS assumptions'!E:E)</f>
        <v>15007</v>
      </c>
      <c r="F10" s="21"/>
      <c r="G10" s="36">
        <f>+SUMIF('BS assumptions'!$B:$B,BS!$B10,'BS assumptions'!G:G)</f>
        <v>38027.454341157769</v>
      </c>
      <c r="H10" s="36">
        <f>+SUMIF('BS assumptions'!$B:$B,BS!$B10,'BS assumptions'!H:H)</f>
        <v>66548.045097026101</v>
      </c>
      <c r="I10" s="36">
        <f>+SUMIF('BS assumptions'!$B:$B,BS!$B10,'BS assumptions'!I:I)</f>
        <v>93167.263135836532</v>
      </c>
      <c r="J10" s="36">
        <f>+SUMIF('BS assumptions'!$B:$B,BS!$B10,'BS assumptions'!J:J)</f>
        <v>111800.71576300383</v>
      </c>
      <c r="K10" s="36">
        <f>+SUMIF('BS assumptions'!$B:$B,BS!$B10,'BS assumptions'!K:K)</f>
        <v>125216.8016545643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28</v>
      </c>
      <c r="C12" s="38">
        <f>'BS source'!D14</f>
        <v>1990</v>
      </c>
      <c r="D12" s="38">
        <f>'BS source'!E14</f>
        <v>3389</v>
      </c>
      <c r="E12" s="38">
        <f>'BS source'!F14</f>
        <v>7280</v>
      </c>
      <c r="F12" s="21"/>
      <c r="G12" s="36">
        <f>E12+'Cash Flow'!G30</f>
        <v>56921.48780183374</v>
      </c>
      <c r="H12" s="36">
        <f>G12+'Cash Flow'!H30</f>
        <v>154078.39414802752</v>
      </c>
      <c r="I12" s="36">
        <f>H12+'Cash Flow'!I30</f>
        <v>315380.33986256551</v>
      </c>
      <c r="J12" s="36">
        <f>I12+'Cash Flow'!J30</f>
        <v>532605.50304341107</v>
      </c>
      <c r="K12" s="36">
        <f>J12+'Cash Flow'!K30</f>
        <v>791137.22011617105</v>
      </c>
      <c r="L12" s="21"/>
      <c r="M12" s="21" t="s">
        <v>93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0" t="s">
        <v>29</v>
      </c>
      <c r="C14" s="81">
        <f>SUM(C4:C12)</f>
        <v>44187</v>
      </c>
      <c r="D14" s="81">
        <f t="shared" ref="D14:E14" si="2">SUM(D4:D12)</f>
        <v>41182</v>
      </c>
      <c r="E14" s="81">
        <f t="shared" si="2"/>
        <v>65728</v>
      </c>
      <c r="F14" s="82"/>
      <c r="G14" s="83">
        <f t="shared" ref="G14:K14" si="3">SUM(G4:G12)</f>
        <v>165957.46117105757</v>
      </c>
      <c r="H14" s="83">
        <f t="shared" si="3"/>
        <v>327486.1055708222</v>
      </c>
      <c r="I14" s="83">
        <f t="shared" si="3"/>
        <v>547907.25523582101</v>
      </c>
      <c r="J14" s="83">
        <f t="shared" si="3"/>
        <v>806134.02474892908</v>
      </c>
      <c r="K14" s="83">
        <f t="shared" si="3"/>
        <v>1093846.5184748759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36</v>
      </c>
      <c r="C16" s="38">
        <f>+SUMIF('BS assumptions'!$B:$B,BS!$B16,'BS assumptions'!C:C)</f>
        <v>1783</v>
      </c>
      <c r="D16" s="38">
        <f>+SUMIF('BS assumptions'!$B:$B,BS!$B16,'BS assumptions'!D:D)</f>
        <v>1193</v>
      </c>
      <c r="E16" s="38">
        <f>+SUMIF('BS assumptions'!$B:$B,BS!$B16,'BS assumptions'!E:E)</f>
        <v>2699</v>
      </c>
      <c r="F16" s="38"/>
      <c r="G16" s="36">
        <f>+SUMIF('BS assumptions'!$B:$B,BS!$B16,'BS assumptions'!G:G)</f>
        <v>4778.2296416581421</v>
      </c>
      <c r="H16" s="36">
        <f>+SUMIF('BS assumptions'!$B:$B,BS!$B16,'BS assumptions'!H:H)</f>
        <v>8760.0876763732595</v>
      </c>
      <c r="I16" s="36">
        <f>+SUMIF('BS assumptions'!$B:$B,BS!$B16,'BS assumptions'!I:I)</f>
        <v>11985.392684492504</v>
      </c>
      <c r="J16" s="36">
        <f>+SUMIF('BS assumptions'!$B:$B,BS!$B16,'BS assumptions'!J:J)</f>
        <v>14047.995146474936</v>
      </c>
      <c r="K16" s="36">
        <f>+SUMIF('BS assumptions'!$B:$B,BS!$B16,'BS assumptions'!K:K)</f>
        <v>15359.141360145932</v>
      </c>
      <c r="L16" s="21"/>
      <c r="M16" s="21"/>
    </row>
    <row r="17" spans="2:13">
      <c r="B17" s="7" t="s">
        <v>37</v>
      </c>
      <c r="C17" s="38">
        <f>+SUMIF('BS assumptions'!$B:$B,BS!$B17,'BS assumptions'!C:C)</f>
        <v>4105</v>
      </c>
      <c r="D17" s="38">
        <f>+SUMIF('BS assumptions'!$B:$B,BS!$B17,'BS assumptions'!D:D)</f>
        <v>6033</v>
      </c>
      <c r="E17" s="38">
        <f>+SUMIF('BS assumptions'!$B:$B,BS!$B17,'BS assumptions'!E:E)</f>
        <v>9223</v>
      </c>
      <c r="F17" s="38"/>
      <c r="G17" s="36">
        <f>+SUMIF('BS assumptions'!$B:$B,BS!$B17,'BS assumptions'!G:G)</f>
        <v>24641.280529399406</v>
      </c>
      <c r="H17" s="36">
        <f>+SUMIF('BS assumptions'!$B:$B,BS!$B17,'BS assumptions'!H:H)</f>
        <v>43122.240926448962</v>
      </c>
      <c r="I17" s="36">
        <f>+SUMIF('BS assumptions'!$B:$B,BS!$B17,'BS assumptions'!I:I)</f>
        <v>60371.137297028545</v>
      </c>
      <c r="J17" s="36">
        <f>+SUMIF('BS assumptions'!$B:$B,BS!$B17,'BS assumptions'!J:J)</f>
        <v>72445.364756434254</v>
      </c>
      <c r="K17" s="36">
        <f>+SUMIF('BS assumptions'!$B:$B,BS!$B17,'BS assumptions'!K:K)</f>
        <v>81138.808527206362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88</v>
      </c>
      <c r="C19" s="38">
        <f>'BS source'!J15+'BS source'!J16</f>
        <v>11687</v>
      </c>
      <c r="D19" s="38">
        <f>'BS source'!K15+'BS source'!K16</f>
        <v>11855</v>
      </c>
      <c r="E19" s="38">
        <f>'BS source'!L15+'BS source'!L16</f>
        <v>10828</v>
      </c>
      <c r="F19" s="38"/>
      <c r="G19" s="36">
        <f>$E$19</f>
        <v>10828</v>
      </c>
      <c r="H19" s="36">
        <f t="shared" ref="H19:K19" si="4">$E$19</f>
        <v>10828</v>
      </c>
      <c r="I19" s="36">
        <f t="shared" si="4"/>
        <v>10828</v>
      </c>
      <c r="J19" s="36">
        <f t="shared" si="4"/>
        <v>10828</v>
      </c>
      <c r="K19" s="36">
        <f t="shared" si="4"/>
        <v>10828</v>
      </c>
      <c r="L19" s="21"/>
      <c r="M19" s="21" t="s">
        <v>94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89</v>
      </c>
      <c r="C21" s="38">
        <f>'BS source'!J8</f>
        <v>26612</v>
      </c>
      <c r="D21" s="38">
        <f>'BS source'!K8</f>
        <v>22101</v>
      </c>
      <c r="E21" s="38">
        <f>'BS source'!L8</f>
        <v>42978</v>
      </c>
      <c r="F21" s="38"/>
      <c r="G21" s="36">
        <f>E21+'P&amp;L'!G24</f>
        <v>125709.95099999999</v>
      </c>
      <c r="H21" s="36">
        <f>G21+'P&amp;L'!H24</f>
        <v>264775.77696799999</v>
      </c>
      <c r="I21" s="36">
        <f>H21+'P&amp;L'!I24</f>
        <v>464722.72525429993</v>
      </c>
      <c r="J21" s="36">
        <f>I21+'P&amp;L'!J24</f>
        <v>708812.66484601982</v>
      </c>
      <c r="K21" s="36">
        <f>J21+'P&amp;L'!K24</f>
        <v>986520.56858752377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0" t="s">
        <v>90</v>
      </c>
      <c r="C23" s="81">
        <f>+SUM(C16:C21)</f>
        <v>44187</v>
      </c>
      <c r="D23" s="81">
        <f t="shared" ref="D23:E23" si="5">+SUM(D16:D21)</f>
        <v>41182</v>
      </c>
      <c r="E23" s="81">
        <f t="shared" si="5"/>
        <v>65728</v>
      </c>
      <c r="F23" s="82"/>
      <c r="G23" s="83">
        <f t="shared" ref="G23:K23" si="6">+SUM(G16:G21)</f>
        <v>165957.46117105754</v>
      </c>
      <c r="H23" s="83">
        <f t="shared" si="6"/>
        <v>327486.1055708222</v>
      </c>
      <c r="I23" s="83">
        <f t="shared" si="6"/>
        <v>547907.25523582101</v>
      </c>
      <c r="J23" s="83">
        <f t="shared" si="6"/>
        <v>806134.02474892896</v>
      </c>
      <c r="K23" s="83">
        <f t="shared" si="6"/>
        <v>1093846.5184748759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91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O36"/>
  <sheetViews>
    <sheetView zoomScale="115" zoomScaleNormal="115" workbookViewId="0">
      <selection activeCell="E33" sqref="E33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23</v>
      </c>
      <c r="C1" s="12"/>
    </row>
    <row r="2" spans="2:15">
      <c r="B2" s="11" t="s">
        <v>61</v>
      </c>
    </row>
    <row r="3" spans="2:15" ht="24.75" thickBot="1">
      <c r="B3" s="8" t="s">
        <v>162</v>
      </c>
      <c r="C3" s="18"/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  <c r="L3" s="7"/>
      <c r="M3" s="23" t="s">
        <v>48</v>
      </c>
    </row>
    <row r="4" spans="2:15">
      <c r="B4" s="11" t="s">
        <v>14</v>
      </c>
      <c r="C4" s="11" t="s">
        <v>6</v>
      </c>
      <c r="D4" s="32">
        <f>'P&amp;L'!D15</f>
        <v>4023</v>
      </c>
      <c r="E4" s="32">
        <f>'P&amp;L'!E15</f>
        <v>31464</v>
      </c>
      <c r="F4" s="32"/>
      <c r="G4" s="33">
        <f>'P&amp;L'!G15</f>
        <v>91078.389999999985</v>
      </c>
      <c r="H4" s="33">
        <f>'P&amp;L'!H15</f>
        <v>160858.44879999998</v>
      </c>
      <c r="I4" s="33">
        <f>'P&amp;L'!I15</f>
        <v>228978.07848999993</v>
      </c>
      <c r="J4" s="33">
        <f>'P&amp;L'!J15</f>
        <v>279717.14895599993</v>
      </c>
      <c r="K4" s="33">
        <f>'P&amp;L'!K15</f>
        <v>318358.48705919995</v>
      </c>
    </row>
    <row r="5" spans="2:15">
      <c r="B5" s="11" t="s">
        <v>95</v>
      </c>
      <c r="C5" s="11" t="s">
        <v>6</v>
      </c>
      <c r="D5" s="51">
        <f>+D6*D4</f>
        <v>286.37266844309096</v>
      </c>
      <c r="E5" s="32">
        <f>+E6*E4</f>
        <v>-3951.7459610027854</v>
      </c>
      <c r="F5" s="32"/>
      <c r="G5" s="33">
        <f>+G6*G4</f>
        <v>-9107.8389999999981</v>
      </c>
      <c r="H5" s="33">
        <f>+H6*H4</f>
        <v>-22520.182831999999</v>
      </c>
      <c r="I5" s="33">
        <f>+I6*I4</f>
        <v>-29767.150203699992</v>
      </c>
      <c r="J5" s="33">
        <f>+J6*J4</f>
        <v>-36363.229364279992</v>
      </c>
      <c r="K5" s="33">
        <f>+K6*K4</f>
        <v>-41386.603317695997</v>
      </c>
    </row>
    <row r="6" spans="2:15">
      <c r="B6" s="45" t="s">
        <v>102</v>
      </c>
      <c r="C6" s="45"/>
      <c r="D6" s="39">
        <f>'P&amp;L'!D22</f>
        <v>7.1183859916254283E-2</v>
      </c>
      <c r="E6" s="39">
        <f>'P&amp;L'!E22</f>
        <v>-0.12559579077684926</v>
      </c>
      <c r="F6" s="39"/>
      <c r="G6" s="44">
        <f>'P&amp;L'!G22</f>
        <v>-0.1</v>
      </c>
      <c r="H6" s="44">
        <f>'P&amp;L'!H22</f>
        <v>-0.14000000000000001</v>
      </c>
      <c r="I6" s="44">
        <f>'P&amp;L'!I22</f>
        <v>-0.13</v>
      </c>
      <c r="J6" s="44">
        <f>'P&amp;L'!J22</f>
        <v>-0.13</v>
      </c>
      <c r="K6" s="44">
        <f>'P&amp;L'!K22</f>
        <v>-0.13</v>
      </c>
      <c r="L6" s="45"/>
      <c r="M6" s="45"/>
      <c r="N6" s="45"/>
      <c r="O6" s="45"/>
    </row>
    <row r="7" spans="2:15">
      <c r="B7" s="75" t="s">
        <v>96</v>
      </c>
      <c r="C7" s="75"/>
      <c r="D7" s="76">
        <f>SUM(D4:D5)</f>
        <v>4309.3726684430912</v>
      </c>
      <c r="E7" s="76">
        <f>SUM(E4:E5)</f>
        <v>27512.254038997213</v>
      </c>
      <c r="F7" s="84"/>
      <c r="G7" s="85">
        <f>SUM(G4:G5)</f>
        <v>81970.550999999992</v>
      </c>
      <c r="H7" s="85">
        <f>SUM(H4:H5)</f>
        <v>138338.26596799999</v>
      </c>
      <c r="I7" s="85">
        <f>SUM(I4:I5)</f>
        <v>199210.92828629992</v>
      </c>
      <c r="J7" s="85">
        <f>SUM(J4:J5)</f>
        <v>243353.91959171992</v>
      </c>
      <c r="K7" s="85">
        <f>SUM(K4:K5)</f>
        <v>276971.88374150393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148</v>
      </c>
      <c r="C9" s="45" t="s">
        <v>6</v>
      </c>
      <c r="D9" s="46">
        <f>-'P&amp;L'!D14</f>
        <v>1554</v>
      </c>
      <c r="E9" s="46">
        <f>-'P&amp;L'!E14</f>
        <v>1508</v>
      </c>
      <c r="F9" s="45"/>
      <c r="G9" s="36">
        <f>-'P&amp;L'!G14</f>
        <v>2802.4119999999998</v>
      </c>
      <c r="H9" s="36">
        <f>-'P&amp;L'!H14</f>
        <v>4659.0099499999988</v>
      </c>
      <c r="I9" s="36">
        <f>-'P&amp;L'!I14</f>
        <v>6179.3184599999977</v>
      </c>
      <c r="J9" s="36">
        <f>-'P&amp;L'!J14</f>
        <v>6591.2730239999983</v>
      </c>
      <c r="K9" s="36">
        <f>-'P&amp;L'!K14</f>
        <v>6920.8366751999984</v>
      </c>
      <c r="L9" s="45"/>
      <c r="N9" s="45"/>
      <c r="O9" s="45"/>
    </row>
    <row r="10" spans="2:15">
      <c r="B10" s="75" t="s">
        <v>149</v>
      </c>
      <c r="C10" s="75"/>
      <c r="D10" s="76">
        <f>D7+D9</f>
        <v>5863.3726684430912</v>
      </c>
      <c r="E10" s="76">
        <f>E7+E9</f>
        <v>29020.254038997213</v>
      </c>
      <c r="F10" s="84"/>
      <c r="G10" s="85">
        <f t="shared" ref="G10:K10" si="0">G7+G9</f>
        <v>84772.962999999989</v>
      </c>
      <c r="H10" s="85">
        <f t="shared" si="0"/>
        <v>142997.275918</v>
      </c>
      <c r="I10" s="85">
        <f t="shared" si="0"/>
        <v>205390.24674629993</v>
      </c>
      <c r="J10" s="85">
        <f t="shared" si="0"/>
        <v>249945.19261571992</v>
      </c>
      <c r="K10" s="85">
        <f t="shared" si="0"/>
        <v>283892.7204167039</v>
      </c>
      <c r="L10" s="45"/>
      <c r="M10" s="11" t="s">
        <v>104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27</v>
      </c>
      <c r="C12" s="45" t="s">
        <v>20</v>
      </c>
      <c r="D12" s="46">
        <f>-(BS!D8-BS!C8)</f>
        <v>-2554</v>
      </c>
      <c r="E12" s="46">
        <f>-(BS!E8-BS!D8)</f>
        <v>-123</v>
      </c>
      <c r="F12" s="45"/>
      <c r="G12" s="36">
        <f>-(BS!G8-BS!E8)</f>
        <v>-4069.0963198363515</v>
      </c>
      <c r="H12" s="36">
        <f>-(BS!H8-BS!G8)</f>
        <v>-7792.580266530289</v>
      </c>
      <c r="I12" s="36">
        <f>-(BS!I8-BS!H8)</f>
        <v>-6311.9900158895398</v>
      </c>
      <c r="J12" s="36">
        <f>-(BS!J8-BS!I8)</f>
        <v>-4036.5565780626857</v>
      </c>
      <c r="K12" s="36">
        <f>-(BS!K8-BS!J8)</f>
        <v>-2565.9408301631011</v>
      </c>
      <c r="L12" s="45"/>
      <c r="N12" s="45"/>
      <c r="O12" s="45"/>
    </row>
    <row r="13" spans="2:15">
      <c r="B13" s="45" t="s">
        <v>25</v>
      </c>
      <c r="C13" s="45" t="s">
        <v>20</v>
      </c>
      <c r="D13" s="46">
        <f>-(BS!D9-BS!C9)</f>
        <v>823</v>
      </c>
      <c r="E13" s="46">
        <f>-(BS!E9-BS!D9)</f>
        <v>-6172</v>
      </c>
      <c r="F13" s="45"/>
      <c r="G13" s="36">
        <f>-(BS!G9-BS!E9)</f>
        <v>-12998.699999999997</v>
      </c>
      <c r="H13" s="36">
        <f>-(BS!H9-BS!G9)</f>
        <v>-17248.274999999994</v>
      </c>
      <c r="I13" s="36">
        <f>-(BS!I9-BS!H9)</f>
        <v>-16098.389999999992</v>
      </c>
      <c r="J13" s="36">
        <f>-(BS!J9-BS!I9)</f>
        <v>-11268.873</v>
      </c>
      <c r="K13" s="36">
        <f>-(BS!K9-BS!J9)</f>
        <v>-8113.5885600000038</v>
      </c>
      <c r="L13" s="45"/>
      <c r="N13" s="45"/>
      <c r="O13" s="45"/>
    </row>
    <row r="14" spans="2:15">
      <c r="B14" s="45" t="s">
        <v>97</v>
      </c>
      <c r="C14" s="45" t="s">
        <v>20</v>
      </c>
      <c r="D14" s="46">
        <f>BS!D16-BS!C16</f>
        <v>-590</v>
      </c>
      <c r="E14" s="46">
        <f>BS!E16-BS!D16</f>
        <v>1506</v>
      </c>
      <c r="F14" s="45"/>
      <c r="G14" s="36">
        <f>BS!G16-BS!E16</f>
        <v>2079.2296416581421</v>
      </c>
      <c r="H14" s="36">
        <f>BS!H16-BS!G16</f>
        <v>3981.8580347151174</v>
      </c>
      <c r="I14" s="36">
        <f>BS!I16-BS!H16</f>
        <v>3225.305008119245</v>
      </c>
      <c r="J14" s="36">
        <f>BS!J16-BS!I16</f>
        <v>2062.6024619824311</v>
      </c>
      <c r="K14" s="36">
        <f>BS!K16-BS!J16</f>
        <v>1311.1462136709961</v>
      </c>
      <c r="L14" s="45"/>
      <c r="N14" s="45"/>
      <c r="O14" s="45"/>
    </row>
    <row r="15" spans="2:15">
      <c r="B15" s="75" t="s">
        <v>98</v>
      </c>
      <c r="C15" s="75"/>
      <c r="D15" s="76">
        <f>+SUM(D12:D14)</f>
        <v>-2321</v>
      </c>
      <c r="E15" s="76">
        <f>+SUM(E12:E14)</f>
        <v>-4789</v>
      </c>
      <c r="F15" s="84"/>
      <c r="G15" s="85">
        <f>+SUM(G12:G14)</f>
        <v>-14988.566678178209</v>
      </c>
      <c r="H15" s="85">
        <f>+SUM(H12:H14)</f>
        <v>-21058.997231815167</v>
      </c>
      <c r="I15" s="85">
        <f>+SUM(I12:I14)</f>
        <v>-19185.075007770287</v>
      </c>
      <c r="J15" s="85">
        <f>+SUM(J12:J14)</f>
        <v>-13242.827116080254</v>
      </c>
      <c r="K15" s="85">
        <f>+SUM(K12:K14)</f>
        <v>-9368.3831764921088</v>
      </c>
      <c r="L15" s="45"/>
      <c r="M15" s="11" t="s">
        <v>105</v>
      </c>
      <c r="N15" s="45"/>
      <c r="O15" s="45"/>
    </row>
    <row r="16" spans="2:15">
      <c r="B16" s="47" t="s">
        <v>99</v>
      </c>
      <c r="C16" s="58" t="s">
        <v>20</v>
      </c>
      <c r="D16" s="48">
        <f>-(BS!D10-BS!C10)+(BS!D17-BS!C17)</f>
        <v>-859</v>
      </c>
      <c r="E16" s="48">
        <f>-(BS!E10-BS!D10)+(BS!E17-BS!D17)</f>
        <v>-2772</v>
      </c>
      <c r="F16" s="49"/>
      <c r="G16" s="37">
        <f>-(BS!G10-BS!E10)+(BS!G17-BS!E17)</f>
        <v>-7602.1738117583627</v>
      </c>
      <c r="H16" s="37">
        <f>-(BS!H10-BS!G10)+(BS!H17-BS!G17)</f>
        <v>-10039.630358818777</v>
      </c>
      <c r="I16" s="37">
        <f>-(BS!I10-BS!H10)+(BS!I17-BS!H17)</f>
        <v>-9370.3216682308484</v>
      </c>
      <c r="J16" s="37">
        <f>-(BS!J10-BS!I10)+(BS!J17-BS!I17)</f>
        <v>-6559.2251677615859</v>
      </c>
      <c r="K16" s="37">
        <f>-(BS!K10-BS!J10)+(BS!K17-BS!J17)</f>
        <v>-4722.6421207883686</v>
      </c>
      <c r="L16" s="45"/>
      <c r="M16" s="11" t="s">
        <v>106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100</v>
      </c>
      <c r="C18" s="58" t="s">
        <v>20</v>
      </c>
      <c r="D18" s="48">
        <f>-(BS!D5-BS!C5)+'P&amp;L'!D14</f>
        <v>-2583</v>
      </c>
      <c r="E18" s="48">
        <f>-(BS!E5-BS!D5)+'P&amp;L'!E14</f>
        <v>-1615</v>
      </c>
      <c r="F18" s="45"/>
      <c r="G18" s="37">
        <f>-(BS!G5-BS!E5)+'P&amp;L'!G14</f>
        <v>-13302.134708229689</v>
      </c>
      <c r="H18" s="37">
        <f>-(BS!H5-BS!G5)+'P&amp;L'!H14</f>
        <v>-15469.301981172266</v>
      </c>
      <c r="I18" s="37">
        <f>-(BS!I5-BS!H5)+'P&amp;L'!I14</f>
        <v>-16268.924355760777</v>
      </c>
      <c r="J18" s="37">
        <f>-(BS!J5-BS!I5)+'P&amp;L'!J14</f>
        <v>-13653.997151032545</v>
      </c>
      <c r="K18" s="37">
        <f>-(BS!K5-BS!J5)+'P&amp;L'!K14</f>
        <v>-12005.998046663435</v>
      </c>
      <c r="L18" s="45"/>
      <c r="M18" s="11" t="s">
        <v>107</v>
      </c>
      <c r="N18" s="45"/>
      <c r="O18" s="45"/>
    </row>
    <row r="19" spans="2:15">
      <c r="B19" s="47" t="s">
        <v>101</v>
      </c>
      <c r="C19" s="58" t="s">
        <v>20</v>
      </c>
      <c r="D19" s="48">
        <f>-(BS!D4-BS!C4)-(BS!D6-BS!C6)</f>
        <v>9951</v>
      </c>
      <c r="E19" s="48">
        <f>-(BS!E4-BS!D4)-(BS!E6-BS!D6)</f>
        <v>-8291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108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85</v>
      </c>
      <c r="C21" s="58" t="s">
        <v>6</v>
      </c>
      <c r="D21" s="48">
        <f>'P&amp;L'!D18</f>
        <v>0</v>
      </c>
      <c r="E21" s="48">
        <f>'P&amp;L'!E18</f>
        <v>0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109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7"/>
      <c r="H22" s="67"/>
      <c r="I22" s="67"/>
      <c r="J22" s="67"/>
      <c r="K22" s="67"/>
      <c r="L22" s="45"/>
      <c r="N22" s="45"/>
      <c r="O22" s="45"/>
    </row>
    <row r="23" spans="2:15">
      <c r="B23" s="73" t="s">
        <v>103</v>
      </c>
      <c r="C23" s="73"/>
      <c r="D23" s="74">
        <f>SUM(D10,D15,D16,D18,D19,D21)</f>
        <v>10051.372668443091</v>
      </c>
      <c r="E23" s="74">
        <f>SUM(E10,E15,E16,E18,E19,E21)</f>
        <v>11553.254038997213</v>
      </c>
      <c r="F23" s="73"/>
      <c r="G23" s="74">
        <f t="shared" ref="G23:K23" si="1">SUM(G10,G15,G16,G18,G19,G21)</f>
        <v>48880.087801833739</v>
      </c>
      <c r="H23" s="74">
        <f t="shared" si="1"/>
        <v>96429.346346193794</v>
      </c>
      <c r="I23" s="74">
        <f t="shared" si="1"/>
        <v>160565.92571453803</v>
      </c>
      <c r="J23" s="74">
        <f t="shared" si="1"/>
        <v>216489.14318084551</v>
      </c>
      <c r="K23" s="74">
        <f t="shared" si="1"/>
        <v>257795.69707276</v>
      </c>
      <c r="L23" s="45"/>
      <c r="M23" s="11" t="s">
        <v>119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7"/>
      <c r="H24" s="67"/>
      <c r="I24" s="67"/>
      <c r="J24" s="67"/>
      <c r="K24" s="67"/>
      <c r="L24" s="45"/>
      <c r="N24" s="45"/>
      <c r="O24" s="45"/>
    </row>
    <row r="25" spans="2:15">
      <c r="B25" s="45" t="s">
        <v>84</v>
      </c>
      <c r="C25" s="45" t="s">
        <v>6</v>
      </c>
      <c r="D25" s="46">
        <f>'P&amp;L'!D17</f>
        <v>-1396</v>
      </c>
      <c r="E25" s="46">
        <f>'P&amp;L'!E17</f>
        <v>846</v>
      </c>
      <c r="F25" s="45"/>
      <c r="G25" s="37">
        <f>'P&amp;L'!G17</f>
        <v>846</v>
      </c>
      <c r="H25" s="37">
        <f>'P&amp;L'!H17</f>
        <v>846</v>
      </c>
      <c r="I25" s="37">
        <f>'P&amp;L'!I17</f>
        <v>846</v>
      </c>
      <c r="J25" s="37">
        <f>'P&amp;L'!J17</f>
        <v>846</v>
      </c>
      <c r="K25" s="37">
        <f>'P&amp;L'!K17</f>
        <v>846</v>
      </c>
      <c r="L25" s="45"/>
      <c r="M25" s="11" t="s">
        <v>114</v>
      </c>
      <c r="N25" s="45"/>
      <c r="O25" s="45"/>
    </row>
    <row r="26" spans="2:15">
      <c r="B26" s="45" t="s">
        <v>110</v>
      </c>
      <c r="C26" s="45" t="s">
        <v>6</v>
      </c>
      <c r="D26" s="46">
        <f>'P&amp;L'!D21-'Cash Flow'!D5</f>
        <v>-99.372668443090959</v>
      </c>
      <c r="E26" s="45">
        <f>'P&amp;L'!E21-'Cash Flow'!E5</f>
        <v>-106.25403899721459</v>
      </c>
      <c r="F26" s="45"/>
      <c r="G26" s="37">
        <f>'P&amp;L'!G21-'Cash Flow'!G5</f>
        <v>-84.600000000000364</v>
      </c>
      <c r="H26" s="37">
        <f>'P&amp;L'!H21-'Cash Flow'!H5</f>
        <v>-118.44000000000233</v>
      </c>
      <c r="I26" s="37">
        <f>'P&amp;L'!I21-'Cash Flow'!I5</f>
        <v>-109.97999999999956</v>
      </c>
      <c r="J26" s="37">
        <f>'P&amp;L'!J21-'Cash Flow'!J5</f>
        <v>-109.9800000000032</v>
      </c>
      <c r="K26" s="37">
        <f>'P&amp;L'!K21-'Cash Flow'!K5</f>
        <v>-109.97999999999593</v>
      </c>
      <c r="L26" s="45"/>
      <c r="M26" s="11" t="s">
        <v>115</v>
      </c>
      <c r="N26" s="45"/>
      <c r="O26" s="45"/>
    </row>
    <row r="27" spans="2:15">
      <c r="B27" s="45" t="s">
        <v>111</v>
      </c>
      <c r="C27" s="45" t="s">
        <v>20</v>
      </c>
      <c r="D27" s="46">
        <f>BS!D19-BS!C19</f>
        <v>168</v>
      </c>
      <c r="E27" s="46">
        <f>BS!E19-BS!D19</f>
        <v>-1027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116</v>
      </c>
      <c r="N27" s="45"/>
      <c r="O27" s="45"/>
    </row>
    <row r="28" spans="2:15">
      <c r="B28" s="45" t="s">
        <v>112</v>
      </c>
      <c r="C28" s="45" t="s">
        <v>120</v>
      </c>
      <c r="D28" s="46">
        <f>BS!D21-BS!C21-'P&amp;L'!D24</f>
        <v>-7325</v>
      </c>
      <c r="E28" s="46">
        <f>BS!E21-BS!D21-'P&amp;L'!E24</f>
        <v>-7375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117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3" t="s">
        <v>113</v>
      </c>
      <c r="C30" s="73"/>
      <c r="D30" s="74">
        <f>SUM(D23,D25,D26,D27,D28)</f>
        <v>1399</v>
      </c>
      <c r="E30" s="74">
        <f>SUM(E23,E25,E26,E27,E28)</f>
        <v>3890.9999999999982</v>
      </c>
      <c r="F30" s="73"/>
      <c r="G30" s="74">
        <f>SUM(G23,G25,G26,G27,G28)</f>
        <v>49641.48780183374</v>
      </c>
      <c r="H30" s="74">
        <f>SUM(H23,H25,H26,H27,H28)</f>
        <v>97156.906346193791</v>
      </c>
      <c r="I30" s="74">
        <f>SUM(I23,I25,I26,I27,I28)</f>
        <v>161301.94571453801</v>
      </c>
      <c r="J30" s="74">
        <f>SUM(J23,J25,J26,J27,J28)</f>
        <v>217225.1631808455</v>
      </c>
      <c r="K30" s="74">
        <f>SUM(K23,K25,K26,K27,K28)</f>
        <v>258531.71707275999</v>
      </c>
      <c r="L30" s="45"/>
      <c r="M30" s="11" t="s">
        <v>118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3" t="s">
        <v>121</v>
      </c>
      <c r="C32" s="63"/>
      <c r="D32" s="64">
        <f>BS!C12</f>
        <v>1990</v>
      </c>
      <c r="E32" s="64">
        <f>BS!D12</f>
        <v>3389</v>
      </c>
      <c r="F32" s="64"/>
      <c r="G32" s="64">
        <f>BS!E12</f>
        <v>7280</v>
      </c>
      <c r="H32" s="64">
        <f>BS!G12</f>
        <v>56921.48780183374</v>
      </c>
      <c r="I32" s="64">
        <f>BS!H12</f>
        <v>154078.39414802752</v>
      </c>
      <c r="J32" s="64">
        <f>BS!I12</f>
        <v>315380.33986256551</v>
      </c>
      <c r="K32" s="64">
        <f>BS!J12</f>
        <v>532605.50304341107</v>
      </c>
      <c r="L32" s="45"/>
    </row>
    <row r="33" spans="2:12">
      <c r="B33" s="63" t="s">
        <v>122</v>
      </c>
      <c r="C33" s="63"/>
      <c r="D33" s="64">
        <f>D30+D32</f>
        <v>3389</v>
      </c>
      <c r="E33" s="64">
        <f>E30+E32</f>
        <v>7279.9999999999982</v>
      </c>
      <c r="F33" s="64"/>
      <c r="G33" s="64">
        <f>G30+G32</f>
        <v>56921.48780183374</v>
      </c>
      <c r="H33" s="64">
        <f>H30+H32</f>
        <v>154078.39414802752</v>
      </c>
      <c r="I33" s="64">
        <f>I30+I32</f>
        <v>315380.33986256551</v>
      </c>
      <c r="J33" s="64">
        <f>J30+J32</f>
        <v>532605.50304341107</v>
      </c>
      <c r="K33" s="64">
        <f>K30+K32</f>
        <v>791137.22011617105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6" t="s">
        <v>91</v>
      </c>
      <c r="C35" s="86"/>
      <c r="D35" s="87">
        <f>BS!D12</f>
        <v>3389</v>
      </c>
      <c r="E35" s="86">
        <f>BS!E12</f>
        <v>7280</v>
      </c>
      <c r="F35" s="86"/>
      <c r="G35" s="87">
        <f>BS!G12</f>
        <v>56921.48780183374</v>
      </c>
      <c r="H35" s="87">
        <f>BS!H12</f>
        <v>154078.39414802752</v>
      </c>
      <c r="I35" s="87">
        <f>BS!I12</f>
        <v>315380.33986256551</v>
      </c>
      <c r="J35" s="87">
        <f>BS!J12</f>
        <v>532605.50304341107</v>
      </c>
      <c r="K35" s="87">
        <f>BS!K12</f>
        <v>791137.22011617105</v>
      </c>
      <c r="L35" s="45"/>
    </row>
    <row r="36" spans="2:12" outlineLevel="1">
      <c r="B36" s="88"/>
      <c r="C36" s="88"/>
      <c r="D36" s="89">
        <f>D33-D35</f>
        <v>0</v>
      </c>
      <c r="E36" s="89">
        <f>E33-E35</f>
        <v>0</v>
      </c>
      <c r="F36" s="88"/>
      <c r="G36" s="88">
        <f>G33-G35</f>
        <v>0</v>
      </c>
      <c r="H36" s="88">
        <f>H33-H35</f>
        <v>0</v>
      </c>
      <c r="I36" s="88">
        <f>I33-I35</f>
        <v>0</v>
      </c>
      <c r="J36" s="88">
        <f>J33-J35</f>
        <v>0</v>
      </c>
      <c r="K36" s="88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DD2B-37DA-475F-B299-180C27F1E352}">
  <dimension ref="B2:P41"/>
  <sheetViews>
    <sheetView zoomScale="85" zoomScaleNormal="85" workbookViewId="0">
      <selection activeCell="K18" sqref="K18"/>
    </sheetView>
  </sheetViews>
  <sheetFormatPr defaultRowHeight="15"/>
  <cols>
    <col min="1" max="1" width="4.7109375" style="149" customWidth="1"/>
    <col min="2" max="2" width="15.7109375" style="149" customWidth="1"/>
    <col min="3" max="5" width="9.140625" style="149"/>
    <col min="6" max="6" width="20.42578125" style="149" bestFit="1" customWidth="1"/>
    <col min="7" max="7" width="10.28515625" style="149" customWidth="1"/>
    <col min="8" max="10" width="9.140625" style="149"/>
    <col min="11" max="11" width="32.42578125" style="149" customWidth="1"/>
    <col min="12" max="12" width="19" style="149" bestFit="1" customWidth="1"/>
    <col min="13" max="13" width="13.42578125" style="149" bestFit="1" customWidth="1"/>
    <col min="14" max="14" width="20.7109375" style="149" bestFit="1" customWidth="1"/>
    <col min="15" max="15" width="18.140625" style="149" bestFit="1" customWidth="1"/>
    <col min="16" max="16" width="12.140625" style="149" bestFit="1" customWidth="1"/>
    <col min="17" max="17" width="9.140625" style="149"/>
    <col min="18" max="18" width="9.5703125" style="149" bestFit="1" customWidth="1"/>
    <col min="19" max="16384" width="9.140625" style="149"/>
  </cols>
  <sheetData>
    <row r="2" spans="2:13" ht="18.75">
      <c r="B2" s="148" t="s">
        <v>123</v>
      </c>
    </row>
    <row r="4" spans="2:13">
      <c r="B4" s="149" t="s">
        <v>232</v>
      </c>
    </row>
    <row r="5" spans="2:13">
      <c r="B5" s="149" t="s">
        <v>233</v>
      </c>
    </row>
    <row r="7" spans="2:13">
      <c r="B7" s="150" t="s">
        <v>234</v>
      </c>
      <c r="C7" s="151"/>
      <c r="D7" s="151"/>
      <c r="E7" s="151"/>
      <c r="F7" s="151"/>
      <c r="G7" s="151"/>
      <c r="I7" s="152"/>
      <c r="J7" s="153"/>
      <c r="L7" s="153"/>
      <c r="M7" s="153"/>
    </row>
    <row r="8" spans="2:13">
      <c r="B8" s="149" t="s">
        <v>235</v>
      </c>
      <c r="F8" s="154">
        <v>2526000</v>
      </c>
      <c r="I8" s="155"/>
      <c r="J8" s="156"/>
    </row>
    <row r="9" spans="2:13">
      <c r="B9" s="149" t="s">
        <v>236</v>
      </c>
      <c r="F9" s="157">
        <f>F8/(F15+F8)</f>
        <v>0.99664628131781419</v>
      </c>
      <c r="I9" s="155"/>
    </row>
    <row r="10" spans="2:13">
      <c r="B10" s="149" t="s">
        <v>237</v>
      </c>
      <c r="F10" s="158">
        <f>E24</f>
        <v>0.14306799999999997</v>
      </c>
      <c r="I10" s="155"/>
    </row>
    <row r="11" spans="2:13">
      <c r="B11" s="149" t="s">
        <v>238</v>
      </c>
      <c r="F11" s="159">
        <f>D24</f>
        <v>4.3499999999999997E-2</v>
      </c>
      <c r="I11" s="155"/>
      <c r="J11" s="160"/>
    </row>
    <row r="12" spans="2:13">
      <c r="B12" s="149" t="s">
        <v>239</v>
      </c>
      <c r="F12" s="155">
        <f>G24</f>
        <v>1.96</v>
      </c>
      <c r="I12" s="155"/>
    </row>
    <row r="13" spans="2:13">
      <c r="B13" s="149" t="s">
        <v>240</v>
      </c>
      <c r="F13" s="159">
        <f>H24</f>
        <v>5.0799999999999998E-2</v>
      </c>
      <c r="I13" s="155"/>
    </row>
    <row r="14" spans="2:13">
      <c r="F14" s="155"/>
    </row>
    <row r="15" spans="2:13">
      <c r="B15" s="149" t="s">
        <v>241</v>
      </c>
      <c r="F15" s="154">
        <f>N33</f>
        <v>8500</v>
      </c>
    </row>
    <row r="16" spans="2:13">
      <c r="B16" s="149" t="s">
        <v>242</v>
      </c>
      <c r="F16" s="157">
        <f>F15/(F8+F15)</f>
        <v>3.3537186821858355E-3</v>
      </c>
    </row>
    <row r="17" spans="2:16">
      <c r="B17" s="149" t="s">
        <v>243</v>
      </c>
      <c r="F17" s="158">
        <v>2.92E-2</v>
      </c>
      <c r="G17" s="161"/>
    </row>
    <row r="18" spans="2:16">
      <c r="B18" s="149" t="s">
        <v>244</v>
      </c>
      <c r="F18" s="162">
        <v>0.17</v>
      </c>
    </row>
    <row r="19" spans="2:16">
      <c r="F19" s="155"/>
    </row>
    <row r="20" spans="2:16" ht="18.75" customHeight="1">
      <c r="B20" s="192" t="s">
        <v>123</v>
      </c>
      <c r="C20" s="193"/>
      <c r="D20" s="193"/>
      <c r="E20" s="193"/>
      <c r="F20" s="194">
        <f>F9*F10+F16*F17*(1-F18)</f>
        <v>0.14266947090155846</v>
      </c>
    </row>
    <row r="21" spans="2:16" ht="18.75" customHeight="1"/>
    <row r="22" spans="2:16" ht="18.75" customHeight="1">
      <c r="B22" s="190" t="s">
        <v>274</v>
      </c>
      <c r="C22" s="190"/>
      <c r="D22" s="190"/>
      <c r="E22" s="190"/>
      <c r="F22" s="190"/>
      <c r="G22" s="190"/>
      <c r="H22" s="190"/>
      <c r="I22" s="190"/>
      <c r="K22" s="190" t="s">
        <v>275</v>
      </c>
      <c r="L22" s="190"/>
      <c r="M22" s="190"/>
      <c r="N22" s="190"/>
      <c r="O22" s="190"/>
    </row>
    <row r="23" spans="2:16" ht="55.5" customHeight="1">
      <c r="B23" s="163"/>
      <c r="C23" s="164"/>
      <c r="D23" s="165" t="s">
        <v>248</v>
      </c>
      <c r="E23" s="166" t="s">
        <v>249</v>
      </c>
      <c r="F23" s="166" t="s">
        <v>250</v>
      </c>
      <c r="G23" s="166" t="s">
        <v>251</v>
      </c>
      <c r="H23" s="166" t="s">
        <v>252</v>
      </c>
      <c r="I23" s="167" t="s">
        <v>123</v>
      </c>
      <c r="K23" s="181" t="s">
        <v>245</v>
      </c>
      <c r="L23" s="180" t="s">
        <v>246</v>
      </c>
      <c r="M23" s="180" t="s">
        <v>247</v>
      </c>
      <c r="N23" s="180" t="s">
        <v>272</v>
      </c>
      <c r="O23" s="180" t="s">
        <v>271</v>
      </c>
    </row>
    <row r="24" spans="2:16" ht="18.75" customHeight="1">
      <c r="B24" s="168" t="s">
        <v>273</v>
      </c>
      <c r="C24" s="169"/>
      <c r="D24" s="158">
        <v>4.3499999999999997E-2</v>
      </c>
      <c r="E24" s="170">
        <f>D24+(H24*G24)</f>
        <v>0.14306799999999997</v>
      </c>
      <c r="F24" s="170">
        <v>2.4299999999999999E-2</v>
      </c>
      <c r="G24" s="171">
        <v>1.96</v>
      </c>
      <c r="H24" s="170">
        <v>5.0799999999999998E-2</v>
      </c>
      <c r="I24" s="172">
        <f>F20</f>
        <v>0.14266947090155846</v>
      </c>
      <c r="K24" s="182" t="s">
        <v>255</v>
      </c>
      <c r="L24" s="182" t="s">
        <v>256</v>
      </c>
      <c r="M24" s="182" t="s">
        <v>257</v>
      </c>
      <c r="N24" s="183">
        <v>0</v>
      </c>
      <c r="O24" s="182">
        <v>0</v>
      </c>
    </row>
    <row r="25" spans="2:16" ht="18.75" customHeight="1">
      <c r="B25" s="173"/>
      <c r="C25" s="174"/>
      <c r="D25" s="175"/>
      <c r="E25" s="176"/>
      <c r="F25" s="176"/>
      <c r="G25" s="177"/>
      <c r="H25" s="176"/>
      <c r="I25" s="178"/>
      <c r="K25" s="182" t="s">
        <v>258</v>
      </c>
      <c r="L25" s="183">
        <v>2.1</v>
      </c>
      <c r="M25" s="182" t="s">
        <v>259</v>
      </c>
      <c r="N25" s="184">
        <v>1000</v>
      </c>
      <c r="O25" s="183">
        <v>33.1</v>
      </c>
    </row>
    <row r="26" spans="2:16" ht="18.75" customHeight="1">
      <c r="E26" s="179"/>
      <c r="K26" s="182" t="s">
        <v>260</v>
      </c>
      <c r="L26" s="183">
        <v>3.9</v>
      </c>
      <c r="M26" s="182" t="s">
        <v>261</v>
      </c>
      <c r="N26" s="184">
        <v>1250</v>
      </c>
      <c r="O26" s="183">
        <v>20.5</v>
      </c>
    </row>
    <row r="27" spans="2:16" ht="18.75" customHeight="1">
      <c r="E27" s="179"/>
      <c r="K27" s="182" t="s">
        <v>262</v>
      </c>
      <c r="L27" s="183">
        <v>5.7</v>
      </c>
      <c r="M27" s="182" t="s">
        <v>263</v>
      </c>
      <c r="N27" s="184">
        <v>1500</v>
      </c>
      <c r="O27" s="183">
        <v>44</v>
      </c>
    </row>
    <row r="28" spans="2:16">
      <c r="E28" s="179"/>
      <c r="F28" s="157"/>
      <c r="K28" s="182" t="s">
        <v>264</v>
      </c>
      <c r="L28" s="183">
        <v>6.9</v>
      </c>
      <c r="M28" s="182" t="s">
        <v>265</v>
      </c>
      <c r="N28" s="184">
        <v>1250</v>
      </c>
      <c r="O28" s="183">
        <v>26.1</v>
      </c>
    </row>
    <row r="29" spans="2:16">
      <c r="F29" s="162"/>
      <c r="K29" s="182" t="s">
        <v>266</v>
      </c>
      <c r="L29" s="183">
        <v>15.7</v>
      </c>
      <c r="M29" s="182" t="s">
        <v>267</v>
      </c>
      <c r="N29" s="184">
        <v>1000</v>
      </c>
      <c r="O29" s="183">
        <v>35.4</v>
      </c>
    </row>
    <row r="30" spans="2:16">
      <c r="F30" s="159"/>
      <c r="K30" s="182" t="s">
        <v>268</v>
      </c>
      <c r="L30" s="183">
        <v>25.7</v>
      </c>
      <c r="M30" s="182" t="s">
        <v>267</v>
      </c>
      <c r="N30" s="184">
        <v>2000</v>
      </c>
      <c r="O30" s="183">
        <v>70.8</v>
      </c>
    </row>
    <row r="31" spans="2:16">
      <c r="K31" s="182" t="s">
        <v>269</v>
      </c>
      <c r="L31" s="183">
        <v>35.700000000000003</v>
      </c>
      <c r="M31" s="182" t="s">
        <v>270</v>
      </c>
      <c r="N31" s="185">
        <v>500</v>
      </c>
      <c r="O31" s="186">
        <v>18.7</v>
      </c>
    </row>
    <row r="32" spans="2:16">
      <c r="K32" s="155"/>
      <c r="L32" s="155"/>
      <c r="M32" s="155"/>
      <c r="N32" s="195" t="s">
        <v>253</v>
      </c>
      <c r="O32" s="195" t="s">
        <v>254</v>
      </c>
      <c r="P32" s="196" t="s">
        <v>243</v>
      </c>
    </row>
    <row r="33" spans="11:16">
      <c r="K33" s="155"/>
      <c r="L33" s="155"/>
      <c r="M33" s="155"/>
      <c r="N33" s="187">
        <f>SUM(N24:N31)</f>
        <v>8500</v>
      </c>
      <c r="O33" s="188">
        <f>SUM(O24:O31)</f>
        <v>248.59999999999997</v>
      </c>
      <c r="P33" s="189">
        <f>O33/N33</f>
        <v>2.9247058823529407E-2</v>
      </c>
    </row>
    <row r="34" spans="11:16">
      <c r="K34" s="136"/>
      <c r="L34" s="135"/>
      <c r="M34" s="136"/>
      <c r="N34" s="138"/>
      <c r="O34" s="135"/>
    </row>
    <row r="35" spans="11:16">
      <c r="K35" s="136"/>
      <c r="L35" s="135"/>
      <c r="M35" s="136"/>
      <c r="N35" s="138"/>
      <c r="O35" s="135"/>
    </row>
    <row r="36" spans="11:16">
      <c r="K36" s="136"/>
      <c r="L36" s="135"/>
      <c r="M36" s="136"/>
      <c r="N36" s="138"/>
      <c r="O36" s="135"/>
    </row>
    <row r="37" spans="11:16">
      <c r="K37" s="136"/>
      <c r="L37" s="135"/>
      <c r="M37" s="136"/>
      <c r="N37" s="138"/>
      <c r="O37" s="135"/>
    </row>
    <row r="38" spans="11:16">
      <c r="K38" s="136"/>
      <c r="L38" s="135"/>
      <c r="M38" s="136"/>
      <c r="N38" s="138"/>
      <c r="O38" s="135"/>
    </row>
    <row r="39" spans="11:16">
      <c r="K39" s="136"/>
      <c r="L39" s="135"/>
      <c r="M39" s="136"/>
      <c r="N39" s="138"/>
      <c r="O39" s="135"/>
    </row>
    <row r="40" spans="11:16">
      <c r="K40" s="136"/>
      <c r="L40" s="135"/>
      <c r="M40" s="136"/>
      <c r="N40" s="136"/>
      <c r="O40" s="135"/>
    </row>
    <row r="41" spans="11:16">
      <c r="K41" s="135"/>
      <c r="L41" s="136"/>
      <c r="M41" s="136"/>
      <c r="N41" s="137"/>
      <c r="O41" s="135"/>
    </row>
  </sheetData>
  <mergeCells count="2">
    <mergeCell ref="B22:I22"/>
    <mergeCell ref="K22:O2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30"/>
  <sheetViews>
    <sheetView workbookViewId="0">
      <selection activeCell="M6" sqref="M6"/>
    </sheetView>
  </sheetViews>
  <sheetFormatPr defaultRowHeight="12" outlineLevelRow="1"/>
  <cols>
    <col min="1" max="1" width="9.7109375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8" width="11" style="7" bestFit="1" customWidth="1"/>
    <col min="9" max="11" width="10" style="7" bestFit="1" customWidth="1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123</v>
      </c>
      <c r="C4" s="90">
        <f>WACC!F20</f>
        <v>0.14266947090155846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124</v>
      </c>
      <c r="C5" s="91">
        <v>0.03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8" t="s">
        <v>162</v>
      </c>
      <c r="C7" s="18" t="s">
        <v>150</v>
      </c>
      <c r="D7" s="18" t="s">
        <v>151</v>
      </c>
      <c r="E7" s="18" t="s">
        <v>152</v>
      </c>
      <c r="F7" s="22"/>
      <c r="G7" s="19" t="s">
        <v>153</v>
      </c>
      <c r="H7" s="19" t="s">
        <v>154</v>
      </c>
      <c r="I7" s="19" t="s">
        <v>155</v>
      </c>
      <c r="J7" s="19" t="s">
        <v>156</v>
      </c>
      <c r="K7" s="19" t="s">
        <v>157</v>
      </c>
      <c r="M7" s="23" t="s">
        <v>48</v>
      </c>
      <c r="N7" s="21"/>
      <c r="O7" s="21"/>
      <c r="P7" s="21"/>
      <c r="Q7" s="21"/>
      <c r="R7" s="21"/>
      <c r="S7" s="21"/>
      <c r="T7" s="21"/>
    </row>
    <row r="8" spans="1:20">
      <c r="B8" s="21" t="s">
        <v>103</v>
      </c>
      <c r="C8" s="92"/>
      <c r="D8" s="93"/>
      <c r="E8" s="93"/>
      <c r="F8" s="21"/>
      <c r="G8" s="36">
        <f>'Cash Flow'!G23</f>
        <v>48880.087801833739</v>
      </c>
      <c r="H8" s="36">
        <f>'Cash Flow'!H23</f>
        <v>96429.346346193794</v>
      </c>
      <c r="I8" s="36">
        <f>'Cash Flow'!I23</f>
        <v>160565.92571453803</v>
      </c>
      <c r="J8" s="36">
        <f>'Cash Flow'!J23</f>
        <v>216489.14318084551</v>
      </c>
      <c r="K8" s="36">
        <f>'Cash Flow'!K23</f>
        <v>257795.69707276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2"/>
      <c r="D9" s="92"/>
      <c r="E9" s="92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125</v>
      </c>
      <c r="C10" s="92"/>
      <c r="D10" s="92"/>
      <c r="E10" s="92"/>
      <c r="F10" s="21"/>
      <c r="G10" s="59">
        <f>1/(1+$C$4)^G6</f>
        <v>0.87514370994002921</v>
      </c>
      <c r="H10" s="59">
        <f>1/(1+$C$4)^H6</f>
        <v>0.76587651304759796</v>
      </c>
      <c r="I10" s="59">
        <f>1/(1+$C$4)^I6</f>
        <v>0.67025201298440795</v>
      </c>
      <c r="J10" s="59">
        <f>1/(1+$C$4)^J6</f>
        <v>0.58656683323794745</v>
      </c>
      <c r="K10" s="59">
        <f>1/(1+$C$4)^K6</f>
        <v>0.51333027456763169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 t="s">
        <v>126</v>
      </c>
      <c r="C11" s="94"/>
      <c r="D11" s="94"/>
      <c r="E11" s="94"/>
      <c r="F11" s="76"/>
      <c r="G11" s="85">
        <f>G10*G8</f>
        <v>42777.101381091146</v>
      </c>
      <c r="H11" s="85">
        <f t="shared" ref="H11:K11" si="0">H10*H8</f>
        <v>73852.971535082033</v>
      </c>
      <c r="I11" s="85">
        <f t="shared" si="0"/>
        <v>107619.63492687402</v>
      </c>
      <c r="J11" s="85">
        <f t="shared" si="0"/>
        <v>126985.35114598513</v>
      </c>
      <c r="K11" s="85">
        <f t="shared" si="0"/>
        <v>132334.33596071388</v>
      </c>
      <c r="L11" s="21"/>
      <c r="M11" s="7" t="s">
        <v>136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107" t="s">
        <v>4</v>
      </c>
      <c r="C14" s="107"/>
      <c r="D14" s="107"/>
      <c r="E14" s="107"/>
      <c r="F14" s="107"/>
      <c r="G14" s="107"/>
      <c r="H14" s="107"/>
      <c r="I14" s="107"/>
      <c r="J14" s="107"/>
      <c r="K14" s="107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127</v>
      </c>
      <c r="C15" s="38">
        <f>SUM(G11:K11)</f>
        <v>483569.3949497462</v>
      </c>
      <c r="D15" s="21" t="s">
        <v>128</v>
      </c>
      <c r="E15" s="60">
        <f>C15/C$18</f>
        <v>0.28557112543799384</v>
      </c>
      <c r="F15" s="61"/>
      <c r="G15" s="39" t="s">
        <v>132</v>
      </c>
      <c r="H15" s="21"/>
      <c r="I15" s="21"/>
      <c r="J15" s="21"/>
      <c r="K15" s="21"/>
      <c r="L15" s="21"/>
      <c r="M15" s="7" t="s">
        <v>231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129</v>
      </c>
      <c r="C16" s="38">
        <f>(K8*(1+C5))/((C4-C5))</f>
        <v>2356712.6557019269</v>
      </c>
      <c r="D16" s="21" t="s">
        <v>128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130</v>
      </c>
      <c r="C17" s="38">
        <f>C16*K10</f>
        <v>1209771.9546284827</v>
      </c>
      <c r="D17" s="21" t="s">
        <v>128</v>
      </c>
      <c r="E17" s="60">
        <f>C17/C$18</f>
        <v>0.71442887456200621</v>
      </c>
      <c r="F17" s="61"/>
      <c r="G17" s="39" t="s">
        <v>132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5" t="s">
        <v>131</v>
      </c>
      <c r="C18" s="76">
        <f>C17+C15</f>
        <v>1693341.3495782288</v>
      </c>
      <c r="D18" s="75" t="s">
        <v>128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5" t="s">
        <v>133</v>
      </c>
      <c r="C19" s="38">
        <f>-BS!E19</f>
        <v>-10828</v>
      </c>
      <c r="D19" s="21" t="s">
        <v>128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6" t="s">
        <v>134</v>
      </c>
      <c r="C20" s="38">
        <f>BS!E12</f>
        <v>7280</v>
      </c>
      <c r="D20" s="21" t="s">
        <v>128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5" t="s">
        <v>135</v>
      </c>
      <c r="C21" s="76">
        <f>SUM(C18:C20)</f>
        <v>1689793.3495782288</v>
      </c>
      <c r="D21" s="75" t="s">
        <v>128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 ht="12.75" thickBot="1">
      <c r="B25" s="21"/>
      <c r="C25" s="21"/>
      <c r="D25" s="21"/>
      <c r="E25" s="21"/>
      <c r="F25" s="21"/>
      <c r="G25" s="41">
        <f>C18</f>
        <v>1693341.3495782288</v>
      </c>
      <c r="H25" s="97">
        <v>0.06</v>
      </c>
      <c r="I25" s="97">
        <v>0.08</v>
      </c>
      <c r="J25" s="97">
        <v>0.1</v>
      </c>
      <c r="K25" s="97">
        <v>0.14000000000000001</v>
      </c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98">
        <v>0.01</v>
      </c>
      <c r="H26" s="36">
        <f t="dataTable" ref="H26:K29" dt2D="1" dtr="1" r1="C4" r2="C5"/>
        <v>4522195.7524685645</v>
      </c>
      <c r="I26" s="36">
        <v>3121485.1152954372</v>
      </c>
      <c r="J26" s="36">
        <v>2349052.1149865096</v>
      </c>
      <c r="K26" s="36">
        <v>1527754.0362147004</v>
      </c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98">
        <v>0.02</v>
      </c>
      <c r="H27" s="36">
        <v>5543187.4427753724</v>
      </c>
      <c r="I27" s="36">
        <v>3572645.9087976995</v>
      </c>
      <c r="J27" s="36">
        <v>2593604.7953141667</v>
      </c>
      <c r="K27" s="36">
        <v>1625597.4643093678</v>
      </c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98">
        <v>0.03</v>
      </c>
      <c r="H28" s="36">
        <v>7244840.2599533852</v>
      </c>
      <c r="I28" s="36">
        <v>4204271.0197008653</v>
      </c>
      <c r="J28" s="36">
        <v>2908029.6700211531</v>
      </c>
      <c r="K28" s="36">
        <v>1741230.6066030655</v>
      </c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98">
        <v>0.04</v>
      </c>
      <c r="H29" s="36">
        <v>10648145.894309411</v>
      </c>
      <c r="I29" s="36">
        <v>5151708.6860556137</v>
      </c>
      <c r="J29" s="36">
        <v>3327262.8362971363</v>
      </c>
      <c r="K29" s="36">
        <v>1879990.3773555029</v>
      </c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workbookViewId="0">
      <selection activeCell="B11" sqref="B11: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K6"/>
  <sheetViews>
    <sheetView workbookViewId="0">
      <selection activeCell="F34" sqref="F34"/>
    </sheetView>
  </sheetViews>
  <sheetFormatPr defaultRowHeight="12"/>
  <cols>
    <col min="1" max="1" width="2" style="1" customWidth="1"/>
    <col min="2" max="2" width="24.1406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50</v>
      </c>
    </row>
    <row r="3" spans="2:11" ht="24.75" thickBot="1">
      <c r="B3" s="17" t="str">
        <f>'P&amp;L'!B3</f>
        <v>$ in millions</v>
      </c>
      <c r="C3" s="18" t="str">
        <f>'P&amp;L'!C3</f>
        <v>FY22
Actual</v>
      </c>
      <c r="D3" s="18" t="str">
        <f>'P&amp;L'!D3</f>
        <v>FY23
Actual</v>
      </c>
      <c r="E3" s="18" t="str">
        <f>'P&amp;L'!E3</f>
        <v>FY24
Actual</v>
      </c>
      <c r="F3" s="22"/>
      <c r="G3" s="19" t="str">
        <f>'P&amp;L'!G3</f>
        <v>FY25
Forecast</v>
      </c>
      <c r="H3" s="19" t="str">
        <f>'P&amp;L'!H3</f>
        <v>FY26
Forecast</v>
      </c>
      <c r="I3" s="19" t="str">
        <f>'P&amp;L'!I3</f>
        <v>FY27
Forecast</v>
      </c>
      <c r="J3" s="19" t="str">
        <f>'P&amp;L'!J3</f>
        <v>FY28
Forecast</v>
      </c>
      <c r="K3" s="19" t="str">
        <f>'P&amp;L'!K3</f>
        <v>FY29
Forecast</v>
      </c>
    </row>
    <row r="4" spans="2:11">
      <c r="B4" s="1" t="str">
        <f>'P&amp;L'!B4</f>
        <v>Revenues</v>
      </c>
      <c r="C4" s="99">
        <f>'P&amp;L'!C4</f>
        <v>26914</v>
      </c>
      <c r="D4" s="99">
        <f>'P&amp;L'!D4</f>
        <v>26974</v>
      </c>
      <c r="E4" s="99">
        <f>'P&amp;L'!E4</f>
        <v>60922</v>
      </c>
      <c r="F4" s="99"/>
      <c r="G4" s="100">
        <f>'P&amp;L'!G4</f>
        <v>140120.59999999998</v>
      </c>
      <c r="H4" s="100">
        <f>'P&amp;L'!H4</f>
        <v>245211.04999999996</v>
      </c>
      <c r="I4" s="100">
        <f>'P&amp;L'!I4</f>
        <v>343295.46999999991</v>
      </c>
      <c r="J4" s="100">
        <f>'P&amp;L'!J4</f>
        <v>411954.5639999999</v>
      </c>
      <c r="K4" s="100">
        <f>'P&amp;L'!K4</f>
        <v>461389.11167999991</v>
      </c>
    </row>
    <row r="5" spans="2:11">
      <c r="B5" s="1" t="s">
        <v>12</v>
      </c>
      <c r="C5" s="99">
        <f>'P&amp;L'!C12</f>
        <v>10041</v>
      </c>
      <c r="D5" s="99">
        <f>'P&amp;L'!D12</f>
        <v>5577</v>
      </c>
      <c r="E5" s="99">
        <f>'P&amp;L'!E12</f>
        <v>32972</v>
      </c>
      <c r="F5" s="99"/>
      <c r="G5" s="100">
        <f>'P&amp;L'!G12</f>
        <v>93880.801999999981</v>
      </c>
      <c r="H5" s="100">
        <f>'P&amp;L'!H12</f>
        <v>165517.45874999999</v>
      </c>
      <c r="I5" s="100">
        <f>'P&amp;L'!I12</f>
        <v>235157.39694999994</v>
      </c>
      <c r="J5" s="100">
        <f>'P&amp;L'!J12</f>
        <v>286308.42197999993</v>
      </c>
      <c r="K5" s="100">
        <f>'P&amp;L'!K12</f>
        <v>325279.32373439992</v>
      </c>
    </row>
    <row r="6" spans="2:11">
      <c r="B6" s="1" t="s">
        <v>137</v>
      </c>
      <c r="C6" s="26">
        <f>C5/C4</f>
        <v>0.37307720888756779</v>
      </c>
      <c r="D6" s="26">
        <f>D5/D4</f>
        <v>0.20675465262845702</v>
      </c>
      <c r="E6" s="26">
        <f>E5/E4</f>
        <v>0.54121663766783756</v>
      </c>
      <c r="F6" s="26"/>
      <c r="G6" s="70">
        <f>G5/G4</f>
        <v>0.66999999999999993</v>
      </c>
      <c r="H6" s="70">
        <f>H5/H4</f>
        <v>0.67500000000000004</v>
      </c>
      <c r="I6" s="70">
        <f>I5/I4</f>
        <v>0.68499999999999994</v>
      </c>
      <c r="J6" s="70">
        <f>J5/J4</f>
        <v>0.69499999999999995</v>
      </c>
      <c r="K6" s="70">
        <f>K5/K4</f>
        <v>0.70499999999999996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G5"/>
  <sheetViews>
    <sheetView workbookViewId="0">
      <selection activeCell="B33" sqref="B33"/>
    </sheetView>
  </sheetViews>
  <sheetFormatPr defaultRowHeight="12"/>
  <cols>
    <col min="1" max="1" width="2" style="1" customWidth="1"/>
    <col min="2" max="2" width="19.42578125" style="1" bestFit="1" customWidth="1"/>
    <col min="3" max="16384" width="9.140625" style="1"/>
  </cols>
  <sheetData>
    <row r="1" spans="2:7" ht="15.75">
      <c r="B1" s="2" t="s">
        <v>51</v>
      </c>
    </row>
    <row r="3" spans="2:7" ht="24.75" thickBot="1">
      <c r="B3" s="8" t="s">
        <v>162</v>
      </c>
      <c r="C3" s="19" t="s">
        <v>153</v>
      </c>
      <c r="D3" s="19" t="s">
        <v>154</v>
      </c>
      <c r="E3" s="19" t="s">
        <v>155</v>
      </c>
      <c r="F3" s="19" t="s">
        <v>156</v>
      </c>
      <c r="G3" s="19" t="s">
        <v>157</v>
      </c>
    </row>
    <row r="4" spans="2:7">
      <c r="B4" s="7" t="s">
        <v>103</v>
      </c>
      <c r="C4" s="28">
        <f>'DCF valuation'!G8</f>
        <v>48880.087801833739</v>
      </c>
      <c r="D4" s="28">
        <f>'DCF valuation'!H8</f>
        <v>96429.346346193794</v>
      </c>
      <c r="E4" s="28">
        <f>'DCF valuation'!I8</f>
        <v>160565.92571453803</v>
      </c>
      <c r="F4" s="28">
        <f>'DCF valuation'!J8</f>
        <v>216489.14318084551</v>
      </c>
      <c r="G4" s="28">
        <f>'DCF valuation'!K8</f>
        <v>257795.69707276</v>
      </c>
    </row>
    <row r="5" spans="2:7">
      <c r="B5" s="7" t="s">
        <v>138</v>
      </c>
      <c r="C5" s="28">
        <f>'DCF valuation'!G11</f>
        <v>42777.101381091146</v>
      </c>
      <c r="D5" s="28">
        <f>'DCF valuation'!H11</f>
        <v>73852.971535082033</v>
      </c>
      <c r="E5" s="28">
        <f>'DCF valuation'!I11</f>
        <v>107619.63492687402</v>
      </c>
      <c r="F5" s="28">
        <f>'DCF valuation'!J11</f>
        <v>126985.35114598513</v>
      </c>
      <c r="G5" s="28">
        <f>'DCF valuation'!K11</f>
        <v>132334.33596071388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K11"/>
  <sheetViews>
    <sheetView workbookViewId="0">
      <selection activeCell="L32" sqref="L32"/>
    </sheetView>
  </sheetViews>
  <sheetFormatPr defaultRowHeight="12"/>
  <cols>
    <col min="1" max="1" width="2" style="1" customWidth="1"/>
    <col min="2" max="2" width="18.42578125" style="1" bestFit="1" customWidth="1"/>
    <col min="3" max="5" width="9.140625" style="1"/>
    <col min="6" max="6" width="2" style="1" customWidth="1"/>
    <col min="7" max="16384" width="9.140625" style="1"/>
  </cols>
  <sheetData>
    <row r="1" spans="2:11" ht="15.75">
      <c r="B1" s="2" t="s">
        <v>56</v>
      </c>
    </row>
    <row r="3" spans="2:11" ht="24.75" thickBot="1">
      <c r="B3" s="17" t="str">
        <f>BS!B3</f>
        <v>$ in millions</v>
      </c>
      <c r="C3" s="18" t="s">
        <v>150</v>
      </c>
      <c r="D3" s="18" t="s">
        <v>151</v>
      </c>
      <c r="E3" s="18" t="s">
        <v>152</v>
      </c>
      <c r="F3" s="22"/>
      <c r="G3" s="19" t="s">
        <v>153</v>
      </c>
      <c r="H3" s="19" t="s">
        <v>154</v>
      </c>
      <c r="I3" s="19" t="s">
        <v>155</v>
      </c>
      <c r="J3" s="19" t="s">
        <v>156</v>
      </c>
      <c r="K3" s="19" t="s">
        <v>157</v>
      </c>
    </row>
    <row r="4" spans="2:11">
      <c r="B4" s="11" t="str">
        <f>BS!B8</f>
        <v>Inventory</v>
      </c>
      <c r="C4" s="99">
        <f>BS!C8</f>
        <v>2605</v>
      </c>
      <c r="D4" s="99">
        <f>BS!D8</f>
        <v>5159</v>
      </c>
      <c r="E4" s="99">
        <f>BS!E8</f>
        <v>5282</v>
      </c>
      <c r="F4" s="99"/>
      <c r="G4" s="100">
        <f>BS!G8</f>
        <v>9351.0963198363515</v>
      </c>
      <c r="H4" s="100">
        <f>BS!H8</f>
        <v>17143.676586366641</v>
      </c>
      <c r="I4" s="100">
        <f>BS!I8</f>
        <v>23455.66660225618</v>
      </c>
      <c r="J4" s="100">
        <f>BS!J8</f>
        <v>27492.223180318866</v>
      </c>
      <c r="K4" s="100">
        <f>BS!K8</f>
        <v>30058.164010481967</v>
      </c>
    </row>
    <row r="5" spans="2:11">
      <c r="B5" s="1" t="str">
        <f>BS!B9</f>
        <v>Trade receivable</v>
      </c>
      <c r="C5" s="99">
        <f>BS!C9</f>
        <v>4650</v>
      </c>
      <c r="D5" s="99">
        <f>BS!D9</f>
        <v>3827</v>
      </c>
      <c r="E5" s="99">
        <f>BS!E9</f>
        <v>9999</v>
      </c>
      <c r="F5" s="99"/>
      <c r="G5" s="100">
        <f>BS!G9</f>
        <v>22997.699999999997</v>
      </c>
      <c r="H5" s="100">
        <f>BS!H9</f>
        <v>40245.974999999991</v>
      </c>
      <c r="I5" s="100">
        <f>BS!I9</f>
        <v>56344.364999999983</v>
      </c>
      <c r="J5" s="100">
        <f>BS!J9</f>
        <v>67613.237999999983</v>
      </c>
      <c r="K5" s="100">
        <f>BS!K9</f>
        <v>75726.826559999987</v>
      </c>
    </row>
    <row r="6" spans="2:11">
      <c r="B6" s="1" t="str">
        <f>BS!B16</f>
        <v>Trade payable</v>
      </c>
      <c r="C6" s="99">
        <f>BS!C16</f>
        <v>1783</v>
      </c>
      <c r="D6" s="99">
        <f>BS!D16</f>
        <v>1193</v>
      </c>
      <c r="E6" s="99">
        <f>BS!E16</f>
        <v>2699</v>
      </c>
      <c r="F6" s="99"/>
      <c r="G6" s="100">
        <f>BS!G16</f>
        <v>4778.2296416581421</v>
      </c>
      <c r="H6" s="100">
        <f>BS!H16</f>
        <v>8760.0876763732595</v>
      </c>
      <c r="I6" s="100">
        <f>BS!I16</f>
        <v>11985.392684492504</v>
      </c>
      <c r="J6" s="100">
        <f>BS!J16</f>
        <v>14047.995146474936</v>
      </c>
      <c r="K6" s="100">
        <f>BS!K16</f>
        <v>15359.141360145932</v>
      </c>
    </row>
    <row r="7" spans="2:11">
      <c r="B7" s="101" t="s">
        <v>56</v>
      </c>
      <c r="C7" s="102">
        <f>C4+C5-C6</f>
        <v>5472</v>
      </c>
      <c r="D7" s="102">
        <f>D4+D5-D6</f>
        <v>7793</v>
      </c>
      <c r="E7" s="102">
        <f>E4+E5-E6</f>
        <v>12582</v>
      </c>
      <c r="F7" s="102"/>
      <c r="G7" s="103">
        <f>G4+G5-G6</f>
        <v>27570.566678178209</v>
      </c>
      <c r="H7" s="103">
        <f>H4+H5-H6</f>
        <v>48629.563909993369</v>
      </c>
      <c r="I7" s="103">
        <f>I4+I5-I6</f>
        <v>67814.638917763659</v>
      </c>
      <c r="J7" s="103">
        <f>J4+J5-J6</f>
        <v>81057.466033843913</v>
      </c>
      <c r="K7" s="103">
        <f>K4+K5-K6</f>
        <v>90425.849210336019</v>
      </c>
    </row>
    <row r="9" spans="2:11">
      <c r="B9" s="11" t="s">
        <v>139</v>
      </c>
      <c r="C9" s="99">
        <f>'BS assumptions'!C6</f>
        <v>62.198112506502191</v>
      </c>
      <c r="D9" s="99">
        <f>'BS assumptions'!D6</f>
        <v>51.075850819307476</v>
      </c>
      <c r="E9" s="99">
        <f>'BS assumptions'!E6</f>
        <v>59.086044450280689</v>
      </c>
      <c r="F9" s="99"/>
      <c r="G9" s="100">
        <f>'BS assumptions'!G6</f>
        <v>59.086044450280689</v>
      </c>
      <c r="H9" s="100">
        <f>'BS assumptions'!H6</f>
        <v>59.086044450280689</v>
      </c>
      <c r="I9" s="100">
        <f>'BS assumptions'!I6</f>
        <v>59.086044450280689</v>
      </c>
      <c r="J9" s="100">
        <f>'BS assumptions'!J6</f>
        <v>59.086044450280689</v>
      </c>
      <c r="K9" s="100">
        <f>'BS assumptions'!K6</f>
        <v>59.086044450280689</v>
      </c>
    </row>
    <row r="10" spans="2:11">
      <c r="B10" s="1" t="s">
        <v>140</v>
      </c>
      <c r="C10" s="99">
        <f>'BS assumptions'!C9</f>
        <v>99.353745100116527</v>
      </c>
      <c r="D10" s="99">
        <f>'BS assumptions'!D9</f>
        <v>159.85883973145118</v>
      </c>
      <c r="E10" s="99">
        <f>'BS assumptions'!E9</f>
        <v>114.40466879249144</v>
      </c>
      <c r="F10" s="99"/>
      <c r="G10" s="100">
        <f>'BS assumptions'!G9</f>
        <v>114.40466879249144</v>
      </c>
      <c r="H10" s="100">
        <f>'BS assumptions'!H9</f>
        <v>114.40466879249144</v>
      </c>
      <c r="I10" s="100">
        <f>'BS assumptions'!I9</f>
        <v>114.40466879249144</v>
      </c>
      <c r="J10" s="100">
        <f>'BS assumptions'!J9</f>
        <v>114.40466879249144</v>
      </c>
      <c r="K10" s="100">
        <f>'BS assumptions'!K9</f>
        <v>114.40466879249144</v>
      </c>
    </row>
    <row r="11" spans="2:11">
      <c r="B11" s="1" t="s">
        <v>141</v>
      </c>
      <c r="C11" s="99">
        <f>'BS assumptions'!C12</f>
        <v>68.002966415933884</v>
      </c>
      <c r="D11" s="99">
        <f>'BS assumptions'!D12</f>
        <v>36.966775692890337</v>
      </c>
      <c r="E11" s="99">
        <f>'BS assumptions'!E12</f>
        <v>58.458576499608924</v>
      </c>
      <c r="F11" s="99"/>
      <c r="G11" s="100">
        <f>'BS assumptions'!G12</f>
        <v>58.458576499608924</v>
      </c>
      <c r="H11" s="100">
        <f>'BS assumptions'!H12</f>
        <v>58.458576499608924</v>
      </c>
      <c r="I11" s="100">
        <f>'BS assumptions'!I12</f>
        <v>58.458576499608924</v>
      </c>
      <c r="J11" s="100">
        <f>'BS assumptions'!J12</f>
        <v>58.458576499608924</v>
      </c>
      <c r="K11" s="100">
        <f>'BS assumptions'!K12</f>
        <v>58.458576499608924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O7"/>
  <sheetViews>
    <sheetView workbookViewId="0">
      <selection activeCell="O32" sqref="O32"/>
    </sheetView>
  </sheetViews>
  <sheetFormatPr defaultRowHeight="12"/>
  <cols>
    <col min="1" max="1" width="2" style="1" customWidth="1"/>
    <col min="2" max="2" width="19.140625" style="1" bestFit="1" customWidth="1"/>
    <col min="3" max="3" width="10" style="1" bestFit="1" customWidth="1"/>
    <col min="4" max="7" width="9.140625" style="1"/>
    <col min="8" max="8" width="19.140625" style="1" bestFit="1" customWidth="1"/>
    <col min="9" max="9" width="10" style="1" bestFit="1" customWidth="1"/>
    <col min="10" max="13" width="9.140625" style="1"/>
    <col min="14" max="14" width="19.140625" style="1" bestFit="1" customWidth="1"/>
    <col min="15" max="16384" width="9.140625" style="1"/>
  </cols>
  <sheetData>
    <row r="1" spans="2:15" ht="15.75">
      <c r="B1" s="2" t="s">
        <v>57</v>
      </c>
    </row>
    <row r="4" spans="2:15" ht="12.75" thickBot="1">
      <c r="B4" s="104" t="s">
        <v>142</v>
      </c>
      <c r="C4" s="105"/>
      <c r="H4" s="104" t="s">
        <v>143</v>
      </c>
      <c r="I4" s="105"/>
      <c r="N4" s="104" t="s">
        <v>144</v>
      </c>
      <c r="O4" s="105"/>
    </row>
    <row r="5" spans="2:15">
      <c r="B5" s="1" t="s">
        <v>145</v>
      </c>
      <c r="C5" s="13">
        <v>1693341.3495782299</v>
      </c>
      <c r="H5" s="1" t="s">
        <v>145</v>
      </c>
      <c r="I5" s="13">
        <v>1067993.3867371907</v>
      </c>
      <c r="N5" s="1" t="s">
        <v>145</v>
      </c>
      <c r="O5" s="197">
        <v>659094.88143558369</v>
      </c>
    </row>
    <row r="6" spans="2:15">
      <c r="B6" s="1" t="s">
        <v>146</v>
      </c>
      <c r="C6" s="26">
        <v>0.28557112543799384</v>
      </c>
      <c r="H6" s="1" t="s">
        <v>146</v>
      </c>
      <c r="I6" s="106">
        <v>0.31138516269602673</v>
      </c>
      <c r="N6" s="1" t="s">
        <v>146</v>
      </c>
      <c r="O6" s="26">
        <v>0.3392098790387631</v>
      </c>
    </row>
    <row r="7" spans="2:15">
      <c r="B7" s="1" t="s">
        <v>147</v>
      </c>
      <c r="C7" s="26">
        <v>0.71442887456200621</v>
      </c>
      <c r="H7" s="1" t="s">
        <v>147</v>
      </c>
      <c r="I7" s="106">
        <v>0.6886148373039731</v>
      </c>
      <c r="N7" s="1" t="s">
        <v>147</v>
      </c>
      <c r="O7" s="26">
        <v>0.6607901209612369</v>
      </c>
    </row>
  </sheetData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60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32"/>
  <sheetViews>
    <sheetView zoomScaleNormal="100" workbookViewId="0">
      <selection activeCell="I8" sqref="I8"/>
    </sheetView>
  </sheetViews>
  <sheetFormatPr defaultRowHeight="12"/>
  <cols>
    <col min="1" max="1" width="5.5703125" style="7" customWidth="1"/>
    <col min="2" max="2" width="27.85546875" style="7" bestFit="1" customWidth="1"/>
    <col min="3" max="3" width="9.140625" style="7"/>
    <col min="4" max="6" width="10.5703125" style="7" bestFit="1" customWidth="1"/>
    <col min="7" max="7" width="29.28515625" style="7" customWidth="1"/>
    <col min="8" max="9" width="9.140625" style="7"/>
    <col min="10" max="10" width="40.42578125" style="7" bestFit="1" customWidth="1"/>
    <col min="11" max="16384" width="9.140625" style="7"/>
  </cols>
  <sheetData>
    <row r="1" spans="1:13" ht="15.75">
      <c r="B1" s="6" t="s">
        <v>1</v>
      </c>
    </row>
    <row r="3" spans="1:13" ht="24">
      <c r="B3" s="8" t="s">
        <v>161</v>
      </c>
      <c r="C3" s="8"/>
      <c r="D3" s="9" t="s">
        <v>158</v>
      </c>
      <c r="E3" s="9" t="s">
        <v>159</v>
      </c>
      <c r="F3" s="9" t="s">
        <v>160</v>
      </c>
      <c r="G3" s="9" t="s">
        <v>167</v>
      </c>
      <c r="J3" s="21"/>
    </row>
    <row r="4" spans="1:13" ht="15">
      <c r="B4" s="7" t="s">
        <v>7</v>
      </c>
      <c r="D4" s="13">
        <v>26914</v>
      </c>
      <c r="E4" s="13">
        <v>26974</v>
      </c>
      <c r="F4" s="13">
        <v>60922</v>
      </c>
      <c r="J4" s="111"/>
    </row>
    <row r="5" spans="1:13" ht="15">
      <c r="B5" s="7" t="s">
        <v>8</v>
      </c>
      <c r="D5" s="13">
        <v>0</v>
      </c>
      <c r="E5" s="13">
        <v>0</v>
      </c>
      <c r="F5" s="13">
        <v>0</v>
      </c>
      <c r="J5" s="112"/>
      <c r="K5" s="66"/>
      <c r="L5" s="66"/>
      <c r="M5" s="66"/>
    </row>
    <row r="6" spans="1:13" ht="15">
      <c r="B6" s="34" t="s">
        <v>9</v>
      </c>
      <c r="C6" s="34"/>
      <c r="D6" s="35">
        <f>D4+D5</f>
        <v>26914</v>
      </c>
      <c r="E6" s="35">
        <f>E4+E5</f>
        <v>26974</v>
      </c>
      <c r="F6" s="35">
        <f>F4+F5</f>
        <v>60922</v>
      </c>
      <c r="G6" s="21"/>
      <c r="J6" s="112"/>
    </row>
    <row r="7" spans="1:13" ht="15">
      <c r="D7" s="13"/>
      <c r="E7" s="13"/>
      <c r="F7" s="13"/>
      <c r="J7" s="112"/>
    </row>
    <row r="8" spans="1:13" ht="21" customHeight="1">
      <c r="A8" s="109" t="s">
        <v>165</v>
      </c>
      <c r="B8" s="7" t="s">
        <v>10</v>
      </c>
      <c r="D8" s="13">
        <f>-20%*9439</f>
        <v>-1887.8000000000002</v>
      </c>
      <c r="E8" s="13">
        <f>-20%*11618</f>
        <v>-2323.6</v>
      </c>
      <c r="F8" s="13">
        <f>-20%*16621</f>
        <v>-3324.2000000000003</v>
      </c>
      <c r="G8" s="110" t="s">
        <v>168</v>
      </c>
      <c r="J8" s="113"/>
    </row>
    <row r="9" spans="1:13" ht="20.25" customHeight="1">
      <c r="A9" s="109"/>
      <c r="B9" s="7" t="s">
        <v>170</v>
      </c>
      <c r="D9" s="13">
        <f>-80%*9439</f>
        <v>-7551.2000000000007</v>
      </c>
      <c r="E9" s="13">
        <f>-80%*11618</f>
        <v>-9294.4</v>
      </c>
      <c r="F9" s="13">
        <f>-80%*16621</f>
        <v>-13296.800000000001</v>
      </c>
      <c r="G9" s="110" t="s">
        <v>169</v>
      </c>
      <c r="J9" s="112"/>
    </row>
    <row r="10" spans="1:13" ht="15">
      <c r="A10" s="109" t="s">
        <v>166</v>
      </c>
      <c r="B10" s="1" t="s">
        <v>163</v>
      </c>
      <c r="D10" s="13">
        <v>-5268</v>
      </c>
      <c r="E10" s="13">
        <v>-7339</v>
      </c>
      <c r="F10" s="13">
        <v>-8675</v>
      </c>
      <c r="G10" s="108"/>
      <c r="J10" s="112"/>
    </row>
    <row r="11" spans="1:13" ht="15">
      <c r="A11" s="109"/>
      <c r="B11" s="1" t="s">
        <v>164</v>
      </c>
      <c r="D11" s="13">
        <v>-2166</v>
      </c>
      <c r="E11" s="13">
        <v>-2440</v>
      </c>
      <c r="F11" s="13">
        <v>-2654</v>
      </c>
      <c r="G11" s="108"/>
      <c r="J11" s="112"/>
    </row>
    <row r="12" spans="1:13" ht="15">
      <c r="A12" s="109"/>
      <c r="B12" s="7" t="s">
        <v>11</v>
      </c>
      <c r="D12" s="13">
        <v>0</v>
      </c>
      <c r="E12" s="13">
        <v>0</v>
      </c>
      <c r="F12" s="13">
        <v>0</v>
      </c>
      <c r="G12" s="108"/>
      <c r="J12" s="112"/>
    </row>
    <row r="13" spans="1:13" ht="15">
      <c r="D13" s="13"/>
      <c r="E13" s="13"/>
      <c r="F13" s="13"/>
      <c r="J13" s="112"/>
    </row>
    <row r="14" spans="1:13" ht="15">
      <c r="B14" s="34" t="s">
        <v>12</v>
      </c>
      <c r="C14" s="34"/>
      <c r="D14" s="35">
        <f>D6+SUM(D8:D12)</f>
        <v>10041</v>
      </c>
      <c r="E14" s="35">
        <f>E6+SUM(E8:E12)</f>
        <v>5577</v>
      </c>
      <c r="F14" s="35">
        <f>F6+SUM(F8:F12)</f>
        <v>32972</v>
      </c>
      <c r="J14" s="112"/>
    </row>
    <row r="15" spans="1:13" ht="15">
      <c r="D15" s="13"/>
      <c r="E15" s="13"/>
      <c r="F15" s="13"/>
      <c r="J15" s="112"/>
    </row>
    <row r="16" spans="1:13" ht="15">
      <c r="B16" s="7" t="s">
        <v>13</v>
      </c>
      <c r="D16" s="13">
        <v>-1174</v>
      </c>
      <c r="E16" s="13">
        <v>-1554</v>
      </c>
      <c r="F16" s="13">
        <v>-1508</v>
      </c>
      <c r="J16" s="112"/>
    </row>
    <row r="17" spans="2:10" ht="15">
      <c r="D17" s="13"/>
      <c r="E17" s="13"/>
      <c r="F17" s="13"/>
      <c r="J17" s="112"/>
    </row>
    <row r="18" spans="2:10" ht="15">
      <c r="B18" s="34" t="s">
        <v>14</v>
      </c>
      <c r="C18" s="34"/>
      <c r="D18" s="35">
        <f>D14+D16</f>
        <v>8867</v>
      </c>
      <c r="E18" s="35">
        <f>E14+E16</f>
        <v>4023</v>
      </c>
      <c r="F18" s="35">
        <f>F14+F16</f>
        <v>31464</v>
      </c>
      <c r="J18" s="112"/>
    </row>
    <row r="19" spans="2:10" ht="15">
      <c r="D19" s="13"/>
      <c r="E19" s="13"/>
      <c r="F19" s="13"/>
      <c r="J19" s="112"/>
    </row>
    <row r="20" spans="2:10" ht="15">
      <c r="B20" s="7" t="s">
        <v>15</v>
      </c>
      <c r="D20" s="13">
        <v>-100</v>
      </c>
      <c r="E20" s="13">
        <v>-1396</v>
      </c>
      <c r="F20" s="13">
        <v>846</v>
      </c>
      <c r="J20" s="112"/>
    </row>
    <row r="21" spans="2:10" ht="15">
      <c r="B21" s="7" t="s">
        <v>16</v>
      </c>
      <c r="D21" s="13">
        <v>0</v>
      </c>
      <c r="E21" s="13">
        <v>0</v>
      </c>
      <c r="F21" s="13">
        <v>0</v>
      </c>
      <c r="J21" s="112"/>
    </row>
    <row r="22" spans="2:10" ht="15">
      <c r="D22" s="13"/>
      <c r="E22" s="13"/>
      <c r="F22" s="13"/>
      <c r="J22" s="112"/>
    </row>
    <row r="23" spans="2:10" ht="15">
      <c r="B23" s="34" t="s">
        <v>17</v>
      </c>
      <c r="C23" s="34"/>
      <c r="D23" s="35">
        <f>D18+D21+D20</f>
        <v>8767</v>
      </c>
      <c r="E23" s="35">
        <f>E18+E21+E20</f>
        <v>2627</v>
      </c>
      <c r="F23" s="35">
        <f>F18+F21+F20</f>
        <v>32310</v>
      </c>
      <c r="J23" s="112"/>
    </row>
    <row r="24" spans="2:10" ht="15">
      <c r="D24" s="13"/>
      <c r="E24" s="13"/>
      <c r="F24" s="13"/>
      <c r="J24" s="112"/>
    </row>
    <row r="25" spans="2:10" ht="15">
      <c r="B25" s="7" t="s">
        <v>18</v>
      </c>
      <c r="D25" s="13">
        <v>-189</v>
      </c>
      <c r="E25" s="13">
        <v>187</v>
      </c>
      <c r="F25" s="13">
        <v>-4058</v>
      </c>
      <c r="J25" s="112"/>
    </row>
    <row r="26" spans="2:10" ht="15">
      <c r="D26" s="13"/>
      <c r="E26" s="13"/>
      <c r="F26" s="13"/>
      <c r="J26" s="112"/>
    </row>
    <row r="27" spans="2:10" ht="15.75" thickBot="1">
      <c r="B27" s="10" t="s">
        <v>19</v>
      </c>
      <c r="C27" s="10"/>
      <c r="D27" s="14">
        <f>D23+D25</f>
        <v>8578</v>
      </c>
      <c r="E27" s="14">
        <f>E23+E25</f>
        <v>2814</v>
      </c>
      <c r="F27" s="14">
        <f>F23+F25</f>
        <v>28252</v>
      </c>
      <c r="J27" s="112"/>
    </row>
    <row r="28" spans="2:10" ht="15">
      <c r="J28" s="112"/>
    </row>
    <row r="29" spans="2:10">
      <c r="J29" s="21"/>
    </row>
    <row r="30" spans="2:10">
      <c r="J30" s="21"/>
    </row>
    <row r="31" spans="2:10">
      <c r="J31" s="21"/>
    </row>
    <row r="32" spans="2:10">
      <c r="J32" s="21"/>
    </row>
  </sheetData>
  <mergeCells count="3">
    <mergeCell ref="A8:A9"/>
    <mergeCell ref="A10:A12"/>
    <mergeCell ref="G10:G1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V45"/>
  <sheetViews>
    <sheetView zoomScaleNormal="100" workbookViewId="0">
      <selection activeCell="B21" sqref="B21"/>
    </sheetView>
  </sheetViews>
  <sheetFormatPr defaultRowHeight="12"/>
  <cols>
    <col min="1" max="1" width="2" style="7" customWidth="1"/>
    <col min="2" max="2" width="24.140625" style="7" bestFit="1" customWidth="1"/>
    <col min="3" max="3" width="11.7109375" style="7" bestFit="1" customWidth="1"/>
    <col min="4" max="4" width="12" style="7" bestFit="1" customWidth="1"/>
    <col min="5" max="5" width="11.5703125" style="7" bestFit="1" customWidth="1"/>
    <col min="6" max="6" width="12.42578125" style="7" bestFit="1" customWidth="1"/>
    <col min="7" max="7" width="12.140625" style="7" bestFit="1" customWidth="1"/>
    <col min="8" max="8" width="28" style="7" bestFit="1" customWidth="1"/>
    <col min="9" max="9" width="11.7109375" style="7" bestFit="1" customWidth="1"/>
    <col min="10" max="10" width="12.42578125" style="7" bestFit="1" customWidth="1"/>
    <col min="11" max="11" width="12.140625" style="7" bestFit="1" customWidth="1"/>
    <col min="12" max="12" width="12.42578125" style="7" bestFit="1" customWidth="1"/>
    <col min="13" max="13" width="11.7109375" style="7" bestFit="1" customWidth="1"/>
    <col min="14" max="14" width="12.42578125" style="7" bestFit="1" customWidth="1"/>
    <col min="15" max="16" width="11.7109375" style="7" bestFit="1" customWidth="1"/>
    <col min="17" max="17" width="11.28515625" style="7" bestFit="1" customWidth="1"/>
    <col min="18" max="21" width="11.7109375" style="7" bestFit="1" customWidth="1"/>
    <col min="22" max="25" width="9.140625" style="7"/>
    <col min="26" max="26" width="11.42578125" style="7" bestFit="1" customWidth="1"/>
    <col min="27" max="27" width="11.28515625" style="7" bestFit="1" customWidth="1"/>
    <col min="28" max="28" width="11.7109375" style="7" bestFit="1" customWidth="1"/>
    <col min="29" max="16384" width="9.140625" style="7"/>
  </cols>
  <sheetData>
    <row r="1" spans="2:13" ht="15.75">
      <c r="B1" s="6" t="s">
        <v>0</v>
      </c>
    </row>
    <row r="3" spans="2:13" ht="24">
      <c r="B3" s="8" t="s">
        <v>161</v>
      </c>
      <c r="C3" s="8"/>
      <c r="D3" s="9" t="s">
        <v>171</v>
      </c>
      <c r="E3" s="9" t="s">
        <v>172</v>
      </c>
      <c r="F3" s="9" t="s">
        <v>173</v>
      </c>
      <c r="H3" s="8" t="s">
        <v>161</v>
      </c>
      <c r="I3" s="8"/>
      <c r="J3" s="9" t="s">
        <v>171</v>
      </c>
      <c r="K3" s="9" t="s">
        <v>172</v>
      </c>
      <c r="L3" s="9" t="s">
        <v>173</v>
      </c>
      <c r="M3" s="7" t="s">
        <v>167</v>
      </c>
    </row>
    <row r="4" spans="2:13">
      <c r="B4" s="7" t="s">
        <v>24</v>
      </c>
      <c r="D4" s="114">
        <v>6688</v>
      </c>
      <c r="E4" s="114">
        <v>6048</v>
      </c>
      <c r="F4" s="114">
        <v>5542</v>
      </c>
      <c r="G4" s="13"/>
      <c r="H4" s="13" t="s">
        <v>30</v>
      </c>
      <c r="I4" s="13"/>
      <c r="J4" s="13">
        <v>3</v>
      </c>
      <c r="K4" s="13">
        <v>2</v>
      </c>
      <c r="L4" s="13">
        <v>2</v>
      </c>
    </row>
    <row r="5" spans="2:13">
      <c r="B5" s="7" t="s">
        <v>35</v>
      </c>
      <c r="D5" s="114">
        <v>2778</v>
      </c>
      <c r="E5" s="114">
        <v>3807</v>
      </c>
      <c r="F5" s="114">
        <v>3914</v>
      </c>
      <c r="G5" s="13"/>
      <c r="H5" s="13" t="s">
        <v>31</v>
      </c>
      <c r="I5" s="13"/>
      <c r="J5" s="13">
        <v>10374</v>
      </c>
      <c r="K5" s="13">
        <v>11928</v>
      </c>
      <c r="L5" s="13">
        <v>13159</v>
      </c>
    </row>
    <row r="6" spans="2:13">
      <c r="B6" s="7" t="s">
        <v>44</v>
      </c>
      <c r="D6" s="114">
        <v>19218</v>
      </c>
      <c r="E6" s="114">
        <v>9907</v>
      </c>
      <c r="F6" s="114">
        <v>18704</v>
      </c>
      <c r="G6" s="13"/>
      <c r="H6" s="13" t="s">
        <v>32</v>
      </c>
      <c r="I6" s="13"/>
      <c r="J6" s="13">
        <v>16235</v>
      </c>
      <c r="K6" s="13">
        <v>10171</v>
      </c>
      <c r="L6" s="13">
        <v>29817</v>
      </c>
    </row>
    <row r="7" spans="2:13">
      <c r="D7" s="13"/>
      <c r="E7" s="13"/>
      <c r="F7" s="13"/>
      <c r="G7" s="13"/>
      <c r="H7" s="13" t="s">
        <v>33</v>
      </c>
      <c r="I7" s="13"/>
      <c r="J7" s="114">
        <v>0</v>
      </c>
      <c r="K7" s="114">
        <v>0</v>
      </c>
      <c r="L7" s="114">
        <v>0</v>
      </c>
      <c r="M7" s="7" t="s">
        <v>229</v>
      </c>
    </row>
    <row r="8" spans="2:13" ht="12.75" thickBot="1">
      <c r="B8" s="10" t="s">
        <v>45</v>
      </c>
      <c r="C8" s="15"/>
      <c r="D8" s="14">
        <f>D6+D5+D4</f>
        <v>28684</v>
      </c>
      <c r="E8" s="14">
        <f>E6+E5+E4</f>
        <v>19762</v>
      </c>
      <c r="F8" s="14">
        <f>F6+F5+F4</f>
        <v>28160</v>
      </c>
      <c r="G8" s="13"/>
      <c r="H8" s="14" t="s">
        <v>34</v>
      </c>
      <c r="I8" s="31"/>
      <c r="J8" s="14">
        <f>SUM(J4:J7)</f>
        <v>26612</v>
      </c>
      <c r="K8" s="14">
        <f>SUM(K4:K7)</f>
        <v>22101</v>
      </c>
      <c r="L8" s="14">
        <f>SUM(L4:L7)</f>
        <v>42978</v>
      </c>
    </row>
    <row r="9" spans="2:13">
      <c r="D9" s="13"/>
      <c r="E9" s="13"/>
      <c r="F9" s="13"/>
      <c r="G9" s="13"/>
      <c r="H9" s="13"/>
      <c r="I9" s="13"/>
      <c r="J9" s="13"/>
      <c r="K9" s="13"/>
      <c r="L9" s="13"/>
    </row>
    <row r="10" spans="2:13">
      <c r="B10" s="7" t="s">
        <v>27</v>
      </c>
      <c r="D10" s="114">
        <v>2605</v>
      </c>
      <c r="E10" s="114">
        <v>5159</v>
      </c>
      <c r="F10" s="114">
        <v>5282</v>
      </c>
      <c r="G10" s="13"/>
      <c r="H10" s="13" t="s">
        <v>36</v>
      </c>
      <c r="I10" s="13"/>
      <c r="J10" s="114">
        <v>1783</v>
      </c>
      <c r="K10" s="114">
        <v>1193</v>
      </c>
      <c r="L10" s="114">
        <v>2699</v>
      </c>
    </row>
    <row r="11" spans="2:13">
      <c r="B11" s="7" t="s">
        <v>25</v>
      </c>
      <c r="D11" s="114">
        <v>4650</v>
      </c>
      <c r="E11" s="114">
        <v>3827</v>
      </c>
      <c r="F11" s="114">
        <v>9999</v>
      </c>
      <c r="G11" s="13"/>
      <c r="H11" s="13" t="s">
        <v>37</v>
      </c>
      <c r="I11" s="13"/>
      <c r="J11" s="13">
        <v>4105</v>
      </c>
      <c r="K11" s="13">
        <v>6033</v>
      </c>
      <c r="L11" s="13">
        <v>9223</v>
      </c>
    </row>
    <row r="12" spans="2:13" ht="12" customHeight="1">
      <c r="B12" s="7" t="s">
        <v>26</v>
      </c>
      <c r="D12" s="114">
        <v>6258</v>
      </c>
      <c r="E12" s="114">
        <v>9045</v>
      </c>
      <c r="F12" s="114">
        <v>15007</v>
      </c>
      <c r="G12" s="13"/>
      <c r="H12" s="13" t="s">
        <v>43</v>
      </c>
      <c r="I12" s="13"/>
      <c r="J12" s="13">
        <v>0</v>
      </c>
      <c r="K12" s="13">
        <v>0</v>
      </c>
      <c r="L12" s="13">
        <v>0</v>
      </c>
    </row>
    <row r="13" spans="2:13" ht="12" customHeight="1">
      <c r="D13" s="13"/>
      <c r="E13" s="13"/>
      <c r="F13" s="13"/>
      <c r="G13" s="13"/>
      <c r="H13" s="13" t="s">
        <v>38</v>
      </c>
      <c r="I13" s="13"/>
      <c r="J13" s="13">
        <v>0</v>
      </c>
      <c r="K13" s="13">
        <v>0</v>
      </c>
      <c r="L13" s="13">
        <v>0</v>
      </c>
    </row>
    <row r="14" spans="2:13" ht="12" customHeight="1">
      <c r="B14" s="7" t="s">
        <v>28</v>
      </c>
      <c r="D14" s="114">
        <v>1990</v>
      </c>
      <c r="E14" s="114">
        <v>3389</v>
      </c>
      <c r="F14" s="114">
        <v>7280</v>
      </c>
      <c r="G14" s="13"/>
      <c r="H14" s="13"/>
      <c r="I14" s="13"/>
      <c r="J14" s="13"/>
      <c r="K14" s="13"/>
      <c r="L14" s="13"/>
    </row>
    <row r="15" spans="2:13" ht="12.75" customHeight="1" thickBot="1">
      <c r="B15" s="10" t="s">
        <v>46</v>
      </c>
      <c r="C15" s="15"/>
      <c r="D15" s="14">
        <f>+D14+D12+D11+D10</f>
        <v>15503</v>
      </c>
      <c r="E15" s="14">
        <f>+E14+E12+E11+E10</f>
        <v>21420</v>
      </c>
      <c r="F15" s="14">
        <f>+F14+F12+F11+F10</f>
        <v>37568</v>
      </c>
      <c r="G15" s="13"/>
      <c r="H15" s="13" t="s">
        <v>39</v>
      </c>
      <c r="I15" s="13"/>
      <c r="J15" s="13">
        <v>10946</v>
      </c>
      <c r="K15" s="13">
        <v>10953</v>
      </c>
      <c r="L15" s="13">
        <v>9709</v>
      </c>
    </row>
    <row r="16" spans="2:13">
      <c r="D16" s="13"/>
      <c r="E16" s="13"/>
      <c r="F16" s="13"/>
      <c r="G16" s="13"/>
      <c r="H16" s="13" t="s">
        <v>40</v>
      </c>
      <c r="I16" s="13"/>
      <c r="J16" s="1">
        <v>741</v>
      </c>
      <c r="K16" s="1">
        <v>902</v>
      </c>
      <c r="L16" s="114">
        <v>1119</v>
      </c>
    </row>
    <row r="17" spans="2:21" ht="12.75" thickBot="1">
      <c r="D17" s="13"/>
      <c r="E17" s="13"/>
      <c r="F17" s="13"/>
      <c r="G17" s="13"/>
      <c r="H17" s="14" t="s">
        <v>41</v>
      </c>
      <c r="I17" s="31"/>
      <c r="J17" s="14">
        <f>J16+J15+SUM(J10:J13)</f>
        <v>17575</v>
      </c>
      <c r="K17" s="14">
        <f>K16+K15+SUM(K10:K13)</f>
        <v>19081</v>
      </c>
      <c r="L17" s="14">
        <f>L16+L15+SUM(L10:L13)</f>
        <v>22750</v>
      </c>
    </row>
    <row r="18" spans="2:21">
      <c r="D18" s="13"/>
      <c r="E18" s="13"/>
      <c r="F18" s="13"/>
      <c r="G18" s="13"/>
      <c r="H18" s="13"/>
      <c r="I18" s="13"/>
      <c r="J18" s="13"/>
      <c r="K18" s="13"/>
      <c r="L18" s="13"/>
    </row>
    <row r="19" spans="2:21" ht="12.75" thickBot="1">
      <c r="B19" s="10" t="s">
        <v>29</v>
      </c>
      <c r="C19" s="15"/>
      <c r="D19" s="14">
        <f>D15+D8</f>
        <v>44187</v>
      </c>
      <c r="E19" s="14">
        <f>E15+E8</f>
        <v>41182</v>
      </c>
      <c r="F19" s="14">
        <f>F15+F8</f>
        <v>65728</v>
      </c>
      <c r="G19" s="13"/>
      <c r="H19" s="14" t="s">
        <v>42</v>
      </c>
      <c r="I19" s="31"/>
      <c r="J19" s="14">
        <f>J17+J8</f>
        <v>44187</v>
      </c>
      <c r="K19" s="14">
        <f>K17+K8</f>
        <v>41182</v>
      </c>
      <c r="L19" s="14">
        <f>L17+L8</f>
        <v>65728</v>
      </c>
    </row>
    <row r="22" spans="2:21">
      <c r="J22" s="7">
        <f>J19-D19</f>
        <v>0</v>
      </c>
      <c r="K22" s="7">
        <f>K19-E19</f>
        <v>0</v>
      </c>
      <c r="L22" s="7">
        <f>L19-F19</f>
        <v>0</v>
      </c>
    </row>
    <row r="25" spans="2:21">
      <c r="B25" s="139" t="s">
        <v>200</v>
      </c>
      <c r="C25" s="139"/>
      <c r="D25" s="139"/>
      <c r="E25" s="139"/>
      <c r="F25" s="139"/>
      <c r="H25" s="139" t="s">
        <v>230</v>
      </c>
      <c r="I25" s="139"/>
      <c r="J25" s="139"/>
      <c r="K25" s="139"/>
      <c r="L25" s="139"/>
    </row>
    <row r="26" spans="2:21" ht="30">
      <c r="B26" s="140" t="s">
        <v>182</v>
      </c>
      <c r="C26" s="140" t="s">
        <v>183</v>
      </c>
      <c r="D26" s="140" t="s">
        <v>179</v>
      </c>
      <c r="E26" s="140" t="s">
        <v>180</v>
      </c>
      <c r="F26" s="140" t="s">
        <v>181</v>
      </c>
      <c r="H26" s="140" t="s">
        <v>182</v>
      </c>
      <c r="I26" s="140" t="s">
        <v>202</v>
      </c>
      <c r="J26" s="140" t="s">
        <v>179</v>
      </c>
      <c r="K26" s="140" t="s">
        <v>180</v>
      </c>
      <c r="L26" s="140" t="s">
        <v>181</v>
      </c>
      <c r="M26" s="134"/>
      <c r="N26" s="134"/>
      <c r="O26" s="134"/>
      <c r="P26" s="134"/>
      <c r="Q26" s="134"/>
      <c r="R26" s="121"/>
      <c r="S26" s="116"/>
      <c r="T26" s="116"/>
      <c r="U26" s="21"/>
    </row>
    <row r="27" spans="2:21" ht="75">
      <c r="B27" s="141" t="s">
        <v>184</v>
      </c>
      <c r="C27" s="142" t="s">
        <v>174</v>
      </c>
      <c r="D27" s="143">
        <v>1990</v>
      </c>
      <c r="E27" s="143">
        <v>3389</v>
      </c>
      <c r="F27" s="143">
        <v>7280</v>
      </c>
      <c r="H27" s="141" t="s">
        <v>203</v>
      </c>
      <c r="I27" s="142" t="s">
        <v>204</v>
      </c>
      <c r="J27" s="141">
        <v>3</v>
      </c>
      <c r="K27" s="141">
        <v>2</v>
      </c>
      <c r="L27" s="141">
        <v>2</v>
      </c>
      <c r="M27" s="135"/>
      <c r="N27" s="136"/>
      <c r="O27" s="135"/>
      <c r="P27" s="135"/>
      <c r="Q27" s="135"/>
      <c r="R27" s="122"/>
      <c r="S27" s="122"/>
      <c r="T27" s="122"/>
      <c r="U27" s="21"/>
    </row>
    <row r="28" spans="2:21" ht="75">
      <c r="B28" s="141" t="s">
        <v>185</v>
      </c>
      <c r="C28" s="142" t="s">
        <v>175</v>
      </c>
      <c r="D28" s="143">
        <v>19218</v>
      </c>
      <c r="E28" s="143">
        <v>9907</v>
      </c>
      <c r="F28" s="143">
        <v>18704</v>
      </c>
      <c r="H28" s="141" t="s">
        <v>31</v>
      </c>
      <c r="I28" s="142" t="s">
        <v>205</v>
      </c>
      <c r="J28" s="141" t="s">
        <v>206</v>
      </c>
      <c r="K28" s="141" t="s">
        <v>207</v>
      </c>
      <c r="L28" s="141" t="s">
        <v>208</v>
      </c>
      <c r="M28" s="135"/>
      <c r="N28" s="136"/>
      <c r="O28" s="135"/>
      <c r="P28" s="135"/>
      <c r="Q28" s="135"/>
      <c r="R28" s="117"/>
      <c r="S28" s="116"/>
      <c r="T28" s="116"/>
      <c r="U28" s="21"/>
    </row>
    <row r="29" spans="2:21" ht="45">
      <c r="B29" s="141" t="s">
        <v>186</v>
      </c>
      <c r="C29" s="142" t="s">
        <v>176</v>
      </c>
      <c r="D29" s="143">
        <v>4650</v>
      </c>
      <c r="E29" s="143">
        <v>3827</v>
      </c>
      <c r="F29" s="143">
        <v>9999</v>
      </c>
      <c r="H29" s="141" t="s">
        <v>209</v>
      </c>
      <c r="I29" s="142" t="s">
        <v>32</v>
      </c>
      <c r="J29" s="143">
        <v>16235</v>
      </c>
      <c r="K29" s="143">
        <v>10171</v>
      </c>
      <c r="L29" s="143">
        <v>29817</v>
      </c>
      <c r="M29" s="135"/>
      <c r="N29" s="136"/>
      <c r="O29" s="137"/>
      <c r="P29" s="137"/>
      <c r="Q29" s="137"/>
      <c r="R29" s="119"/>
      <c r="S29" s="118"/>
      <c r="T29" s="118"/>
      <c r="U29" s="21"/>
    </row>
    <row r="30" spans="2:21" ht="105">
      <c r="B30" s="141" t="s">
        <v>27</v>
      </c>
      <c r="C30" s="142" t="s">
        <v>177</v>
      </c>
      <c r="D30" s="143">
        <v>2605</v>
      </c>
      <c r="E30" s="143">
        <v>5159</v>
      </c>
      <c r="F30" s="143">
        <v>5282</v>
      </c>
      <c r="H30" s="141" t="s">
        <v>210</v>
      </c>
      <c r="I30" s="142" t="s">
        <v>211</v>
      </c>
      <c r="J30" s="147">
        <v>8578</v>
      </c>
      <c r="K30" s="147">
        <v>2814</v>
      </c>
      <c r="L30" s="147">
        <v>28252</v>
      </c>
      <c r="M30" s="135"/>
      <c r="N30" s="136"/>
      <c r="O30" s="138"/>
      <c r="P30" s="138"/>
      <c r="Q30" s="138"/>
      <c r="R30" s="117"/>
      <c r="S30" s="116"/>
      <c r="T30" s="116"/>
      <c r="U30" s="21"/>
    </row>
    <row r="31" spans="2:21" ht="60">
      <c r="B31" s="141" t="s">
        <v>187</v>
      </c>
      <c r="C31" s="142" t="s">
        <v>178</v>
      </c>
      <c r="D31" s="143">
        <v>2778</v>
      </c>
      <c r="E31" s="143">
        <v>3807</v>
      </c>
      <c r="F31" s="143">
        <v>3914</v>
      </c>
      <c r="H31" s="141" t="s">
        <v>212</v>
      </c>
      <c r="I31" s="142" t="s">
        <v>201</v>
      </c>
      <c r="J31" s="143">
        <v>1783</v>
      </c>
      <c r="K31" s="143">
        <v>1193</v>
      </c>
      <c r="L31" s="143">
        <v>2699</v>
      </c>
      <c r="M31" s="135"/>
      <c r="N31" s="136"/>
      <c r="O31" s="137"/>
      <c r="P31" s="137"/>
      <c r="Q31" s="137"/>
      <c r="R31" s="119"/>
      <c r="S31" s="118"/>
      <c r="T31" s="118"/>
      <c r="U31" s="21"/>
    </row>
    <row r="32" spans="2:21" ht="105">
      <c r="B32" s="141" t="s">
        <v>188</v>
      </c>
      <c r="C32" s="142" t="s">
        <v>189</v>
      </c>
      <c r="D32" s="141" t="s">
        <v>190</v>
      </c>
      <c r="E32" s="141" t="s">
        <v>191</v>
      </c>
      <c r="F32" s="141" t="s">
        <v>192</v>
      </c>
      <c r="H32" s="141" t="s">
        <v>213</v>
      </c>
      <c r="I32" s="142" t="s">
        <v>214</v>
      </c>
      <c r="J32" s="141" t="s">
        <v>215</v>
      </c>
      <c r="K32" s="141" t="s">
        <v>216</v>
      </c>
      <c r="L32" s="141" t="s">
        <v>217</v>
      </c>
      <c r="M32" s="135"/>
      <c r="N32" s="136"/>
      <c r="O32" s="135"/>
      <c r="P32" s="135"/>
      <c r="Q32" s="135"/>
      <c r="R32" s="117"/>
      <c r="S32" s="116"/>
      <c r="T32" s="116"/>
      <c r="U32" s="21"/>
    </row>
    <row r="33" spans="2:22" ht="75">
      <c r="B33" s="144" t="s">
        <v>193</v>
      </c>
      <c r="C33" s="142" t="s">
        <v>194</v>
      </c>
      <c r="D33" s="145" t="s">
        <v>198</v>
      </c>
      <c r="E33" s="146">
        <v>9045</v>
      </c>
      <c r="F33" s="146">
        <v>15007</v>
      </c>
      <c r="H33" s="141" t="s">
        <v>218</v>
      </c>
      <c r="I33" s="142" t="s">
        <v>219</v>
      </c>
      <c r="J33" s="141">
        <v>0</v>
      </c>
      <c r="K33" s="141">
        <v>0</v>
      </c>
      <c r="L33" s="141">
        <v>0</v>
      </c>
      <c r="M33" s="135"/>
      <c r="N33" s="136"/>
      <c r="O33" s="135"/>
      <c r="P33" s="135"/>
      <c r="Q33" s="135"/>
      <c r="R33" s="119"/>
      <c r="S33" s="118"/>
      <c r="T33" s="118"/>
      <c r="U33" s="21"/>
    </row>
    <row r="34" spans="2:22" ht="60">
      <c r="B34" s="144"/>
      <c r="C34" s="142" t="s">
        <v>195</v>
      </c>
      <c r="D34" s="145"/>
      <c r="E34" s="146"/>
      <c r="F34" s="146"/>
      <c r="H34" s="141" t="s">
        <v>220</v>
      </c>
      <c r="I34" s="142" t="s">
        <v>221</v>
      </c>
      <c r="J34" s="141">
        <v>0</v>
      </c>
      <c r="K34" s="141">
        <v>0</v>
      </c>
      <c r="L34" s="141">
        <v>0</v>
      </c>
      <c r="M34" s="135"/>
      <c r="N34" s="136"/>
      <c r="O34" s="135"/>
      <c r="P34" s="135"/>
      <c r="Q34" s="135"/>
      <c r="R34" s="117"/>
      <c r="S34" s="116"/>
      <c r="T34" s="116"/>
      <c r="U34" s="21"/>
    </row>
    <row r="35" spans="2:22" ht="60">
      <c r="B35" s="144"/>
      <c r="C35" s="142" t="s">
        <v>196</v>
      </c>
      <c r="D35" s="145"/>
      <c r="E35" s="146"/>
      <c r="F35" s="146"/>
      <c r="H35" s="141" t="s">
        <v>222</v>
      </c>
      <c r="I35" s="142" t="s">
        <v>223</v>
      </c>
      <c r="J35" s="143">
        <v>10946</v>
      </c>
      <c r="K35" s="141" t="s">
        <v>224</v>
      </c>
      <c r="L35" s="141" t="s">
        <v>225</v>
      </c>
      <c r="M35" s="135"/>
      <c r="N35" s="136"/>
      <c r="O35" s="137"/>
      <c r="P35" s="135"/>
      <c r="Q35" s="135"/>
      <c r="R35" s="119"/>
      <c r="S35" s="118"/>
      <c r="T35" s="118"/>
      <c r="U35" s="21"/>
    </row>
    <row r="36" spans="2:22" ht="60">
      <c r="B36" s="144"/>
      <c r="C36" s="142" t="s">
        <v>197</v>
      </c>
      <c r="D36" s="145"/>
      <c r="E36" s="146"/>
      <c r="F36" s="146"/>
      <c r="H36" s="141" t="s">
        <v>226</v>
      </c>
      <c r="I36" s="142" t="s">
        <v>227</v>
      </c>
      <c r="J36" s="141">
        <v>741</v>
      </c>
      <c r="K36" s="141">
        <v>902</v>
      </c>
      <c r="L36" s="143">
        <v>1119</v>
      </c>
      <c r="M36" s="135"/>
      <c r="N36" s="136"/>
      <c r="O36" s="135"/>
      <c r="P36" s="135"/>
      <c r="Q36" s="137"/>
      <c r="R36" s="123"/>
      <c r="S36" s="124"/>
      <c r="T36" s="123"/>
      <c r="U36" s="21"/>
    </row>
    <row r="37" spans="2:22" ht="45">
      <c r="B37" s="141" t="s">
        <v>29</v>
      </c>
      <c r="C37" s="142" t="s">
        <v>199</v>
      </c>
      <c r="D37" s="143">
        <v>44187</v>
      </c>
      <c r="E37" s="143">
        <v>41182</v>
      </c>
      <c r="F37" s="143">
        <v>65728</v>
      </c>
      <c r="H37" s="141" t="s">
        <v>228</v>
      </c>
      <c r="I37" s="142"/>
      <c r="J37" s="143">
        <v>44187</v>
      </c>
      <c r="K37" s="143">
        <v>41182</v>
      </c>
      <c r="L37" s="143">
        <v>65728</v>
      </c>
      <c r="M37" s="135"/>
      <c r="N37" s="136"/>
      <c r="O37" s="137"/>
      <c r="P37" s="137"/>
      <c r="Q37" s="137"/>
      <c r="R37" s="125"/>
      <c r="S37" s="126"/>
      <c r="T37" s="125"/>
      <c r="U37" s="21"/>
    </row>
    <row r="38" spans="2:22" ht="15">
      <c r="B38" s="115"/>
      <c r="C38" s="116"/>
      <c r="D38" s="117"/>
      <c r="E38" s="116"/>
      <c r="F38" s="21"/>
      <c r="H38" s="112"/>
      <c r="I38" s="118"/>
      <c r="J38" s="119"/>
      <c r="K38" s="118"/>
      <c r="L38" s="127"/>
      <c r="M38" s="127"/>
      <c r="N38" s="127"/>
      <c r="O38" s="127"/>
      <c r="P38" s="128"/>
      <c r="Q38" s="128"/>
      <c r="R38" s="128"/>
      <c r="S38" s="129"/>
      <c r="T38" s="129"/>
      <c r="U38" s="21"/>
    </row>
    <row r="39" spans="2:22" ht="15">
      <c r="B39" s="112"/>
      <c r="C39" s="118"/>
      <c r="D39" s="119"/>
      <c r="E39" s="118"/>
      <c r="F39" s="21"/>
      <c r="H39" s="115"/>
      <c r="I39" s="116"/>
      <c r="J39" s="117"/>
      <c r="K39" s="116"/>
      <c r="L39" s="118"/>
      <c r="M39" s="118"/>
      <c r="N39" s="118"/>
      <c r="O39" s="118"/>
      <c r="P39" s="119"/>
      <c r="Q39" s="119"/>
      <c r="R39" s="119"/>
      <c r="S39" s="118"/>
      <c r="T39" s="118"/>
      <c r="U39" s="21"/>
    </row>
    <row r="40" spans="2:22" ht="15">
      <c r="B40" s="120"/>
      <c r="C40" s="116"/>
      <c r="D40" s="117"/>
      <c r="E40" s="116"/>
      <c r="F40" s="21"/>
      <c r="H40" s="112"/>
      <c r="I40" s="118"/>
      <c r="J40" s="118"/>
      <c r="K40" s="118"/>
      <c r="L40" s="116"/>
      <c r="M40" s="116"/>
      <c r="N40" s="116"/>
      <c r="O40" s="116"/>
      <c r="P40" s="117"/>
      <c r="Q40" s="117"/>
      <c r="R40" s="117"/>
      <c r="S40" s="116"/>
      <c r="T40" s="116"/>
      <c r="U40" s="21"/>
    </row>
    <row r="41" spans="2:22" ht="15">
      <c r="H41" s="115"/>
      <c r="I41" s="116"/>
      <c r="J41" s="117"/>
      <c r="K41" s="116"/>
      <c r="L41" s="118"/>
      <c r="M41" s="118"/>
      <c r="N41" s="118"/>
      <c r="O41" s="118"/>
      <c r="P41" s="118"/>
      <c r="Q41" s="119"/>
      <c r="R41" s="119"/>
      <c r="S41" s="118"/>
      <c r="T41" s="118"/>
      <c r="U41" s="21"/>
    </row>
    <row r="42" spans="2:22" ht="15">
      <c r="H42" s="112"/>
      <c r="I42" s="118"/>
      <c r="J42" s="119"/>
      <c r="K42" s="118"/>
      <c r="L42" s="116"/>
      <c r="M42" s="116"/>
      <c r="N42" s="116"/>
      <c r="O42" s="116"/>
      <c r="P42" s="117"/>
      <c r="Q42" s="117"/>
      <c r="R42" s="117"/>
      <c r="S42" s="116"/>
      <c r="T42" s="116"/>
      <c r="U42" s="21"/>
    </row>
    <row r="43" spans="2:22" ht="15">
      <c r="H43" s="115"/>
      <c r="I43" s="130"/>
      <c r="J43" s="131"/>
      <c r="K43" s="133"/>
      <c r="L43" s="118"/>
      <c r="M43" s="118"/>
      <c r="N43" s="118"/>
      <c r="O43" s="118"/>
      <c r="P43" s="119"/>
      <c r="Q43" s="119"/>
      <c r="R43" s="119"/>
      <c r="S43" s="118"/>
      <c r="T43" s="118"/>
      <c r="U43" s="21"/>
    </row>
    <row r="44" spans="2:22" ht="15">
      <c r="G44" s="21"/>
      <c r="H44" s="115"/>
      <c r="I44" s="133"/>
      <c r="J44" s="130"/>
      <c r="K44" s="130"/>
      <c r="L44" s="130"/>
      <c r="M44" s="130"/>
      <c r="N44" s="130"/>
      <c r="O44" s="130"/>
      <c r="P44" s="130"/>
      <c r="Q44" s="131"/>
      <c r="R44" s="132"/>
      <c r="S44" s="131"/>
      <c r="T44" s="133"/>
      <c r="U44" s="133"/>
      <c r="V44" s="21"/>
    </row>
    <row r="45" spans="2:22"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</row>
  </sheetData>
  <mergeCells count="6">
    <mergeCell ref="D33:D36"/>
    <mergeCell ref="E33:E36"/>
    <mergeCell ref="F33:F36"/>
    <mergeCell ref="B25:F25"/>
    <mergeCell ref="H25:L25"/>
    <mergeCell ref="B33:B3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Sheet2</vt:lpstr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WACC</vt:lpstr>
      <vt:lpstr>DCF valuation</vt:lpstr>
      <vt:lpstr>3.Charts  --&gt;</vt:lpstr>
      <vt:lpstr>Revenues&amp;Ebitda</vt:lpstr>
      <vt:lpstr>Cash flows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Shantanu Patil</dc:creator>
  <cp:lastModifiedBy>Shantanu Patil</cp:lastModifiedBy>
  <dcterms:created xsi:type="dcterms:W3CDTF">2006-09-16T00:00:00Z</dcterms:created>
  <dcterms:modified xsi:type="dcterms:W3CDTF">2025-04-17T01:09:02Z</dcterms:modified>
</cp:coreProperties>
</file>